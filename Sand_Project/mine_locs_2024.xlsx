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leedy\Documents\Coursework\SP26\Data Science\solar-incentive-adoption\Sand Project\"/>
    </mc:Choice>
  </mc:AlternateContent>
  <xr:revisionPtr revIDLastSave="0" documentId="13_ncr:1_{553D60BE-05B5-4A3A-A10E-380E6A144281}" xr6:coauthVersionLast="47" xr6:coauthVersionMax="47" xr10:uidLastSave="{00000000-0000-0000-0000-000000000000}"/>
  <bookViews>
    <workbookView xWindow="-108" yWindow="-108" windowWidth="23256" windowHeight="12456" xr2:uid="{00000000-000D-0000-FFFF-FFFF00000000}"/>
  </bookViews>
  <sheets>
    <sheet name="Earth Remov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HXehkZieXSxga4SjOsizNpvK8ni1QM2el7EdYo+lko="/>
    </ext>
  </extLst>
</workbook>
</file>

<file path=xl/calcChain.xml><?xml version="1.0" encoding="utf-8"?>
<calcChain xmlns="http://schemas.openxmlformats.org/spreadsheetml/2006/main">
  <c r="C7" i="1" l="1"/>
  <c r="C8" i="1"/>
  <c r="C9" i="1"/>
  <c r="C10" i="1"/>
  <c r="C6" i="1"/>
  <c r="D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1000000}">
      <text>
        <r>
          <rPr>
            <sz val="11"/>
            <color theme="1"/>
            <rFont val="Calibri"/>
            <scheme val="minor"/>
          </rPr>
          <t>*Note: This site was partially mined in 2000 
======</t>
        </r>
      </text>
    </comment>
    <comment ref="C15" authorId="0" shapeId="0" xr:uid="{00000000-0006-0000-0000-000002000000}">
      <text>
        <r>
          <rPr>
            <sz val="11"/>
            <color theme="1"/>
            <rFont val="Calibri"/>
            <scheme val="minor"/>
          </rPr>
          <t>*Note: This site was partially mined in 2000 
======</t>
        </r>
      </text>
    </comment>
    <comment ref="C16" authorId="0" shapeId="0" xr:uid="{00000000-0006-0000-0000-000003000000}">
      <text>
        <r>
          <rPr>
            <sz val="11"/>
            <color theme="1"/>
            <rFont val="Calibri"/>
            <scheme val="minor"/>
          </rPr>
          <t>*Note: This site was partially mined in 2000 
======</t>
        </r>
      </text>
    </comment>
    <comment ref="C17" authorId="0" shapeId="0" xr:uid="{00000000-0006-0000-0000-000004000000}">
      <text>
        <r>
          <rPr>
            <sz val="11"/>
            <color theme="1"/>
            <rFont val="Calibri"/>
            <scheme val="minor"/>
          </rPr>
          <t>*Note: This site was partially mined in 2000 
======</t>
        </r>
      </text>
    </comment>
    <comment ref="B54" authorId="0" shapeId="0" xr:uid="{00000000-0006-0000-0000-000010000000}">
      <text>
        <r>
          <rPr>
            <sz val="11"/>
            <color theme="1"/>
            <rFont val="Calibri"/>
            <scheme val="minor"/>
          </rPr>
          <t>======
ID#AAAAangJdZ0
Various Lots on site owned by    (2022-06-08 19:39:13)
SURE-CRAN SERVICES INC
FLETCHER DAVID
BAYSIDE AGRICULTURAL INC</t>
        </r>
      </text>
    </comment>
    <comment ref="C56" authorId="0" shapeId="0" xr:uid="{00000000-0006-0000-0000-000005000000}">
      <text>
        <r>
          <rPr>
            <sz val="11"/>
            <color theme="1"/>
            <rFont val="Calibri"/>
            <scheme val="minor"/>
          </rPr>
          <t>Southern portion already partially mined in 2000
======</t>
        </r>
      </text>
    </comment>
    <comment ref="C76" authorId="0" shapeId="0" xr:uid="{00000000-0006-0000-0000-000007000000}">
      <text>
        <r>
          <rPr>
            <sz val="11"/>
            <color theme="1"/>
            <rFont val="Calibri"/>
            <scheme val="minor"/>
          </rPr>
          <t>Partially Cleared in 2000, obvious signs of excavation but hard to determine what final grade will be
======</t>
        </r>
      </text>
    </comment>
    <comment ref="C78" authorId="0" shapeId="0" xr:uid="{00000000-0006-0000-0000-000008000000}">
      <text>
        <r>
          <rPr>
            <sz val="11"/>
            <color theme="1"/>
            <rFont val="Calibri"/>
            <scheme val="minor"/>
          </rPr>
          <t>Southern hill partially mind in 2000
======</t>
        </r>
      </text>
    </comment>
    <comment ref="C85" authorId="0" shapeId="0" xr:uid="{00000000-0006-0000-0000-000009000000}">
      <text>
        <r>
          <rPr>
            <sz val="11"/>
            <color theme="1"/>
            <rFont val="Calibri"/>
            <scheme val="minor"/>
          </rPr>
          <t>Vista Point and Beaver Dam Road represent developments in the Plymouth Pine HIlls.  The houses are laid out almost exactly where the tallest peaks were located, but there is no reasonable way to estimate the current elevation with the DEM so a volume extracted cannot be calculated.
======</t>
        </r>
      </text>
    </comment>
    <comment ref="B90" authorId="0" shapeId="0" xr:uid="{00000000-0006-0000-0000-00000A000000}">
      <text>
        <r>
          <rPr>
            <sz val="11"/>
            <color theme="1"/>
            <rFont val="Calibri"/>
            <scheme val="minor"/>
          </rPr>
          <t>Not the owner during excavation
======</t>
        </r>
      </text>
    </comment>
    <comment ref="C94" authorId="0" shapeId="0" xr:uid="{00000000-0006-0000-0000-00000B000000}">
      <text>
        <r>
          <rPr>
            <sz val="11"/>
            <color theme="1"/>
            <rFont val="Calibri"/>
            <scheme val="minor"/>
          </rPr>
          <t>Amount from Excavation of Material Committee Document
======</t>
        </r>
      </text>
    </comment>
    <comment ref="C97" authorId="0" shapeId="0" xr:uid="{00000000-0006-0000-0000-00000C000000}">
      <text>
        <r>
          <rPr>
            <sz val="11"/>
            <color theme="1"/>
            <rFont val="Calibri"/>
            <scheme val="minor"/>
          </rPr>
          <t>This is a rough estimate for southern parts of the site.  Much of this area was already heavily mined prior to 2000
======</t>
        </r>
      </text>
    </comment>
    <comment ref="C108" authorId="0" shapeId="0" xr:uid="{00000000-0006-0000-0000-00000D000000}">
      <text>
        <r>
          <rPr>
            <sz val="11"/>
            <color theme="1"/>
            <rFont val="Calibri"/>
            <scheme val="minor"/>
          </rPr>
          <t>Already heavily altered prior to 2000
======</t>
        </r>
      </text>
    </comment>
  </commentList>
  <extLst>
    <ext xmlns:r="http://schemas.openxmlformats.org/officeDocument/2006/relationships" uri="GoogleSheetsCustomDataVersion2">
      <go:sheetsCustomData xmlns:go="http://customooxmlschemas.google.com/" r:id="rId1" roundtripDataSignature="AMtx7mgRIGYGIZQKL5yF2Pfcw/DtQMyNEA=="/>
    </ext>
  </extLst>
</comments>
</file>

<file path=xl/sharedStrings.xml><?xml version="1.0" encoding="utf-8"?>
<sst xmlns="http://schemas.openxmlformats.org/spreadsheetml/2006/main" count="780" uniqueCount="270">
  <si>
    <t xml:space="preserve"> 59 Federal Road Map 131 Lot 1-1 + 131-1-2 </t>
  </si>
  <si>
    <t>AD Makepeace Cranberry</t>
  </si>
  <si>
    <t>Cranberry/Solar</t>
  </si>
  <si>
    <t>Yes</t>
  </si>
  <si>
    <t>No</t>
  </si>
  <si>
    <t>Partial</t>
  </si>
  <si>
    <t>MEPA TMUD Area</t>
  </si>
  <si>
    <t xml:space="preserve"> 46 Federal Rd. Map 131-2-4 (Numerous Permits)</t>
  </si>
  <si>
    <t>Cranberry bog/pond</t>
  </si>
  <si>
    <t>MESA Permit</t>
  </si>
  <si>
    <t>Planned Per ISO</t>
  </si>
  <si>
    <r>
      <rPr>
        <u/>
        <sz val="12"/>
        <color rgb="FF000000"/>
        <rFont val="Calibri"/>
      </rPr>
      <t>24</t>
    </r>
    <r>
      <rPr>
        <u/>
        <sz val="12"/>
        <color rgb="FF0563C1"/>
        <rFont val="Calibri"/>
      </rPr>
      <t xml:space="preserve"> Hammond Street Map 134-4-2A (Permi</t>
    </r>
    <r>
      <rPr>
        <u/>
        <sz val="12"/>
        <color rgb="FF0563C1"/>
        <rFont val="Calibri"/>
      </rPr>
      <t>t 2019)</t>
    </r>
  </si>
  <si>
    <t xml:space="preserve">Cranberry bog/pond </t>
  </si>
  <si>
    <t>No review</t>
  </si>
  <si>
    <r>
      <rPr>
        <u/>
        <sz val="12"/>
        <color rgb="FF0563C1"/>
        <rFont val="Calibri"/>
      </rPr>
      <t xml:space="preserve">0 </t>
    </r>
    <r>
      <rPr>
        <u/>
        <sz val="12"/>
        <color rgb="FF0563C1"/>
        <rFont val="Calibri"/>
      </rPr>
      <t xml:space="preserve">Hammond Street: 131 lot 1-3 </t>
    </r>
    <r>
      <rPr>
        <u/>
        <sz val="12"/>
        <color rgb="FF000000"/>
        <rFont val="Calibri"/>
      </rPr>
      <t>(Solar)</t>
    </r>
  </si>
  <si>
    <t>Solar</t>
  </si>
  <si>
    <t>276 Federal Road Map 131-2-A (Solar/Mining)</t>
  </si>
  <si>
    <t>ESA Permit</t>
  </si>
  <si>
    <t>Cranberry/solar</t>
  </si>
  <si>
    <t>Swan Holt Bogs - Robbins Path (Permit)**</t>
  </si>
  <si>
    <t xml:space="preserve"> 0 Cranberry Road, Cranebrook Site(Permit)</t>
  </si>
  <si>
    <t>AD Makepeace d/b/a Cranebrook Cranberry</t>
  </si>
  <si>
    <t>ADM "15 Acre" Bog  (Permit)</t>
  </si>
  <si>
    <t>Cranberry</t>
  </si>
  <si>
    <t>Makepeace "Locations: 2, 3" (Permits)*</t>
  </si>
  <si>
    <t>Carver / Plymouth: 0 Rear Plymouth Street Map 45-1 (Permits)</t>
  </si>
  <si>
    <t>Franklin Marsh LLC  (Cranberry)/Ryco</t>
  </si>
  <si>
    <t>Yes: Floating</t>
  </si>
  <si>
    <t>0 Plymouth Street Map 48-8+48-1 (Permit #102)</t>
  </si>
  <si>
    <t>North Weston Cranberry</t>
  </si>
  <si>
    <t>Cranberry pond</t>
  </si>
  <si>
    <r>
      <rPr>
        <u/>
        <sz val="12"/>
        <color rgb="FF0563C1"/>
        <rFont val="Calibri"/>
      </rPr>
      <t>Yes</t>
    </r>
    <r>
      <rPr>
        <sz val="12"/>
        <color rgb="FF000000"/>
        <rFont val="Calibri"/>
      </rPr>
      <t>; DEP says agriculture</t>
    </r>
  </si>
  <si>
    <t>13A Gate Street Map 37-1-L (Solar/Cranberry)</t>
  </si>
  <si>
    <t>Bayside Agricultural-REDP Solar</t>
  </si>
  <si>
    <t>Np</t>
  </si>
  <si>
    <t>103 Wareham Street Map 128-2</t>
  </si>
  <si>
    <t>Slocum Gibbs Cranberry</t>
  </si>
  <si>
    <r>
      <rPr>
        <u/>
        <sz val="12"/>
        <color rgb="FF0563C1"/>
        <rFont val="Calibri"/>
      </rPr>
      <t xml:space="preserve"> 0 Tremont Street Map 128-1</t>
    </r>
    <r>
      <rPr>
        <sz val="12"/>
        <rFont val="Calibri"/>
      </rPr>
      <t xml:space="preserve"> </t>
    </r>
  </si>
  <si>
    <t xml:space="preserve">Cranberry </t>
  </si>
  <si>
    <t>0 Rear Tremont Map 97 Lots 2, 6</t>
  </si>
  <si>
    <t xml:space="preserve"> 0 Wareham St Map 126-39-0</t>
  </si>
  <si>
    <t>Beaton's Inc. (Cranberry)</t>
  </si>
  <si>
    <t>0 Rear Tremont Map 97-1</t>
  </si>
  <si>
    <t>AGDA-Weston Brothers Cranberry</t>
  </si>
  <si>
    <t>0 Rear Tremont Map 96-11 (2019 Permit #99)</t>
  </si>
  <si>
    <t>Foley Farms - Ryco Excavating</t>
  </si>
  <si>
    <t>Blueberry agriculture</t>
  </si>
  <si>
    <t>Truck route</t>
  </si>
  <si>
    <t>0 Rear Tremont St Map 96-10-R (2021 Permit #103)</t>
  </si>
  <si>
    <t>Blueberry-cranberry agriculture</t>
  </si>
  <si>
    <t xml:space="preserve"> 0 Rear South Main Street Map 91-8 (Permit)</t>
  </si>
  <si>
    <t>Oiva Hannula Cranberry</t>
  </si>
  <si>
    <t>104 Tremont Street, Map J10 Lot 13 (Permit 2006)</t>
  </si>
  <si>
    <t xml:space="preserve"> 104 Tremont Street Map 123-13 (Permit 2008)</t>
  </si>
  <si>
    <t>104 Tremont Street (Permit 2015)</t>
  </si>
  <si>
    <t>104 Tremont Street (Permit 2019)</t>
  </si>
  <si>
    <r>
      <rPr>
        <u/>
        <sz val="12"/>
        <color rgb="FF0563C1"/>
        <rFont val="Calibri"/>
      </rPr>
      <t>Yes</t>
    </r>
    <r>
      <rPr>
        <sz val="12"/>
        <rFont val="Calibri"/>
      </rPr>
      <t xml:space="preserve"> </t>
    </r>
  </si>
  <si>
    <t>73 Tremont Street Map 121-4 (Permit)</t>
  </si>
  <si>
    <t>Edgewood Bogs/Great Cedar Cranberry</t>
  </si>
  <si>
    <t>2 Tremont Street Map 123-1</t>
  </si>
  <si>
    <t>Bayside Agricultural (Cranberry)</t>
  </si>
  <si>
    <r>
      <rPr>
        <u/>
        <sz val="12"/>
        <color rgb="FF0563C1"/>
        <rFont val="Calibri"/>
      </rPr>
      <t xml:space="preserve">0 Spring Street Map 32-1-2 </t>
    </r>
    <r>
      <rPr>
        <u/>
        <sz val="12"/>
        <color rgb="FF000000"/>
        <rFont val="Calibri"/>
      </rPr>
      <t>(Permit 2018)</t>
    </r>
  </si>
  <si>
    <t>RPBP LLC MassDOT/SLT Construction</t>
  </si>
  <si>
    <t>Subdivision</t>
  </si>
  <si>
    <t>0 Spring Street, Rear/Marob Lot (Permit 2021)</t>
  </si>
  <si>
    <t>26 Spring Street/Solar Circle</t>
  </si>
  <si>
    <t>Robert McGrath/Marob Trust</t>
  </si>
  <si>
    <t xml:space="preserve"> Off Meadow Street 84-1 + 83-6 (Permits)</t>
  </si>
  <si>
    <t>Bette Maki/Alex Johnson Cranberry</t>
  </si>
  <si>
    <t>Cranberry: reservoir</t>
  </si>
  <si>
    <t>Weathervane Drive</t>
  </si>
  <si>
    <t>Route 44 Development LLC</t>
  </si>
  <si>
    <t>Mayflower Road (Permit 2016)</t>
  </si>
  <si>
    <t>Decas Cranberry - Ryco</t>
  </si>
  <si>
    <t>Bogs listed as abandoned on Town's 2019 report</t>
  </si>
  <si>
    <t>Fuller Street, Map 50, Lots 3, 9, 10 (Permit)</t>
  </si>
  <si>
    <t>Johnson Bros.Cranberry/Ryco</t>
  </si>
  <si>
    <t>Fuller Street, Map 50 (Permit, 2023)</t>
  </si>
  <si>
    <t>Johnson Bros. Cranberry/Ryco</t>
  </si>
  <si>
    <t>Fuller Street, Map 50 (Permit, 2023)-Purchase St</t>
  </si>
  <si>
    <t>Nemasket Cranberry-Gregory Arnold</t>
  </si>
  <si>
    <t xml:space="preserve">JJ Arnold </t>
  </si>
  <si>
    <t>Cranberry Co.</t>
  </si>
  <si>
    <t>Weston Brothers Cranberry</t>
  </si>
  <si>
    <t>Vincent</t>
  </si>
  <si>
    <t>Wayne Vaughn</t>
  </si>
  <si>
    <r>
      <rPr>
        <sz val="12"/>
        <rFont val="Calibri"/>
      </rPr>
      <t xml:space="preserve">0 Ward St., </t>
    </r>
    <r>
      <rPr>
        <u/>
        <sz val="12"/>
        <color rgb="FF0563C1"/>
        <rFont val="Calibri"/>
      </rPr>
      <t>Map 120 Lot 5</t>
    </r>
    <r>
      <rPr>
        <sz val="12"/>
        <rFont val="Calibri"/>
      </rPr>
      <t xml:space="preserve"> (Permits, 2012, 2021)</t>
    </r>
  </si>
  <si>
    <t xml:space="preserve">Cedar Meadow Cranberry/EJ Pontiff </t>
  </si>
  <si>
    <t>Cranberry reservoir</t>
  </si>
  <si>
    <t xml:space="preserve">Yes </t>
  </si>
  <si>
    <t>Farm to Market Road: South of 276 Federal Road</t>
  </si>
  <si>
    <t xml:space="preserve"> Solar: REDP</t>
  </si>
  <si>
    <t xml:space="preserve"> 77 Farm to Market Road </t>
  </si>
  <si>
    <t xml:space="preserve"> Solar: Borrego Solar</t>
  </si>
  <si>
    <t xml:space="preserve">0 Farm to Market Road </t>
  </si>
  <si>
    <t>Truck Route</t>
  </si>
  <si>
    <t>156 Tihonet Road (a/k/a 160 Tihonet)</t>
  </si>
  <si>
    <t>99 Charge Pond Road</t>
  </si>
  <si>
    <t>Various</t>
  </si>
  <si>
    <t>Solar/Cranberry</t>
  </si>
  <si>
    <t xml:space="preserve"> 157 Glen Charlie Road</t>
  </si>
  <si>
    <t>Rounsville, Hammond &amp; Rounsville, Inc. Cranberry</t>
  </si>
  <si>
    <t xml:space="preserve"> 0 Glen Charlie Road East</t>
  </si>
  <si>
    <t>Highland Inc. (Graziano)</t>
  </si>
  <si>
    <t>Mining</t>
  </si>
  <si>
    <t xml:space="preserve"> 0 Glen Charlie Road West</t>
  </si>
  <si>
    <t xml:space="preserve">290 Glen Charlie Road, LLC </t>
  </si>
  <si>
    <t xml:space="preserve"> 0 Maple Springs Road</t>
  </si>
  <si>
    <t>Ashley Herbert W Trustee</t>
  </si>
  <si>
    <t>Rosebrook Conference Center</t>
  </si>
  <si>
    <t>AD Makepeace</t>
  </si>
  <si>
    <t>104 North Carver Road</t>
  </si>
  <si>
    <t>Rocky Maple Cranberry</t>
  </si>
  <si>
    <t xml:space="preserve">2384 Cranberry Highway </t>
  </si>
  <si>
    <t>2384 Cranberry Highway LLC</t>
  </si>
  <si>
    <t>Smalley Bogs Off Farm to Market Rd.</t>
  </si>
  <si>
    <t>Cranberry Pond</t>
  </si>
  <si>
    <t>Along Short Neck Road Onset</t>
  </si>
  <si>
    <t>Windward Pines LLC</t>
  </si>
  <si>
    <t xml:space="preserve">Commercial </t>
  </si>
  <si>
    <t>Squirrel Island Road</t>
  </si>
  <si>
    <t>Colony Place Development LLC</t>
  </si>
  <si>
    <t>Business Park</t>
  </si>
  <si>
    <t>Gary Darmin</t>
  </si>
  <si>
    <t>Commerce Park LLC</t>
  </si>
  <si>
    <t>Dundee Corp.</t>
  </si>
  <si>
    <t>Commerce Way</t>
  </si>
  <si>
    <t>Plymouth Industrial Development Corp.</t>
  </si>
  <si>
    <t>50 William C Gold Way</t>
  </si>
  <si>
    <t>Amazon</t>
  </si>
  <si>
    <t>Development</t>
  </si>
  <si>
    <t>T.L. Edwards Inc.</t>
  </si>
  <si>
    <t>Industrial Mine</t>
  </si>
  <si>
    <t xml:space="preserve">10 Collins Ave + Adjacent Lot </t>
  </si>
  <si>
    <t>MassDOT/Spencer Plymouth Realty LLC</t>
  </si>
  <si>
    <t>Commercial</t>
  </si>
  <si>
    <t xml:space="preserve"> 0 Landers Farm Way/Mt. Hill Road/143 Hedges Pond Rd.</t>
  </si>
  <si>
    <t>PA Landers-Anderson</t>
  </si>
  <si>
    <t>Off Hedges Pond Road/Cantor Court</t>
  </si>
  <si>
    <t>Tonka Truck LLC / M+M Cantor Court LLC</t>
  </si>
  <si>
    <t xml:space="preserve"> 0 State Road</t>
  </si>
  <si>
    <t>Sorenti Brothers</t>
  </si>
  <si>
    <t>Commericia</t>
  </si>
  <si>
    <t xml:space="preserve"> Kara's Way off Herring Pond Road</t>
  </si>
  <si>
    <t>Mill Pond Real Estate Trust</t>
  </si>
  <si>
    <t>Subdivision-Residential</t>
  </si>
  <si>
    <t>Yes: Cedarville Historic Area</t>
  </si>
  <si>
    <t>MHC Inventoried Area: Cedarville</t>
  </si>
  <si>
    <t>0 Black Cat Road  Map 90 Lot 43A</t>
  </si>
  <si>
    <t>Makepeace/F-H Aquisition Corp</t>
  </si>
  <si>
    <t>Cranberry Permit 2706 60,000 cy</t>
  </si>
  <si>
    <t>Off Black Cat Road: Map 90, several lots/3 permits from ZBA</t>
  </si>
  <si>
    <t>EJ Pontiff Cranberry</t>
  </si>
  <si>
    <t>Cranberry bog</t>
  </si>
  <si>
    <r>
      <rPr>
        <u/>
        <sz val="12"/>
        <color rgb="FF0563C1"/>
        <rFont val="Calibri"/>
      </rPr>
      <t>Black Cat Road</t>
    </r>
    <r>
      <rPr>
        <u/>
        <sz val="12"/>
        <color rgb="FF000000"/>
        <rFont val="Calibri"/>
      </rPr>
      <t xml:space="preserve"> Map 90, Lot 26</t>
    </r>
  </si>
  <si>
    <t>Black Cat Cranberry</t>
  </si>
  <si>
    <t>420 Billington Street &amp; 0 Rocky Pond Road (ZBA 4 Permits)</t>
  </si>
  <si>
    <t>Cranberry ponds</t>
  </si>
  <si>
    <t>Yes (minority)</t>
  </si>
  <si>
    <t>Stearns William B III</t>
  </si>
  <si>
    <t>Cranberry bogs</t>
  </si>
  <si>
    <t xml:space="preserve"> 140 Fire House Road (Permit)</t>
  </si>
  <si>
    <t>EJ Pontiff Cranberry/Meharg/P.A. Landers</t>
  </si>
  <si>
    <t>Cranberry tailwater pond</t>
  </si>
  <si>
    <t>Piney Wood Cranberry Co</t>
  </si>
  <si>
    <t>10 Veridian</t>
  </si>
  <si>
    <t>Ridge Development LLC</t>
  </si>
  <si>
    <t xml:space="preserve"> West of 10 Veridian</t>
  </si>
  <si>
    <t>No Ownership Info in MassMapper</t>
  </si>
  <si>
    <t xml:space="preserve"> South of 10 Veridian</t>
  </si>
  <si>
    <t>No Ownership Info in Massmapper</t>
  </si>
  <si>
    <t xml:space="preserve"> Pine Hills Development: 257 Beaver Dam Road</t>
  </si>
  <si>
    <t>Cranberry Realty Tr.-Pine Hills LLC</t>
  </si>
  <si>
    <t>Pine Hills Development-Vista Point</t>
  </si>
  <si>
    <t>Pine Hills LLC</t>
  </si>
  <si>
    <t>100 Beaver Dam Road (ZBA Permit)</t>
  </si>
  <si>
    <t>Tidmarsh Farm, Inc.</t>
  </si>
  <si>
    <t>Cranberry bog &amp; earth removal</t>
  </si>
  <si>
    <t>Blissful Meadow Drive</t>
  </si>
  <si>
    <t>Blissful Meadow LLC</t>
  </si>
  <si>
    <t xml:space="preserve"> Pine Hills Golf Courses (Numerous)</t>
  </si>
  <si>
    <t xml:space="preserve">Town of Plymouth, Long Pond Golf Corp, OS Golf Club LLC, Pine Hills Golf Club LLC, etc </t>
  </si>
  <si>
    <t>Golf Courses and Adjacent Communities</t>
  </si>
  <si>
    <t>Beaver Dam Road Pine Hills</t>
  </si>
  <si>
    <t>New Construction</t>
  </si>
  <si>
    <t xml:space="preserve"> Armstrong Road Extension</t>
  </si>
  <si>
    <t>Possible: Atlantic Properties</t>
  </si>
  <si>
    <t>Camp Norse, Parting Ways Road</t>
  </si>
  <si>
    <t xml:space="preserve">Boy Scouts of America </t>
  </si>
  <si>
    <t xml:space="preserve"> 20 Oasis Way</t>
  </si>
  <si>
    <t>Picerne Plymouth LLC</t>
  </si>
  <si>
    <t>131 Camelot Drive (No Permit) Town of Plymouth</t>
  </si>
  <si>
    <t>Town of Plymouth</t>
  </si>
  <si>
    <t>Plymouth Sand &amp; Gravel/Raffaele Rd.</t>
  </si>
  <si>
    <t>Plymouth Sand &amp; Gravel/Cushing</t>
  </si>
  <si>
    <t>Cranberry Bog/Now Solar</t>
  </si>
  <si>
    <t>"County Woodlot" 63 Camelot Drive (Permit)</t>
  </si>
  <si>
    <t>Kingstown Trucking/Plymouth County</t>
  </si>
  <si>
    <t>Solar: not built</t>
  </si>
  <si>
    <r>
      <rPr>
        <sz val="12"/>
        <color rgb="FF000000"/>
        <rFont val="Calibri"/>
      </rPr>
      <t xml:space="preserve">Near Frogfoot Brook </t>
    </r>
    <r>
      <rPr>
        <u/>
        <sz val="12"/>
        <color rgb="FF0563C1"/>
        <rFont val="Calibri"/>
      </rPr>
      <t xml:space="preserve"> 0 Tihonet Rd./Map 126  (Permit)</t>
    </r>
  </si>
  <si>
    <t>AD Makepeace Cranberry "Farm of the Future"</t>
  </si>
  <si>
    <t xml:space="preserve">Near </t>
  </si>
  <si>
    <t>MEPA TMUD</t>
  </si>
  <si>
    <r>
      <rPr>
        <u/>
        <sz val="12"/>
        <color rgb="FF0563C1"/>
        <rFont val="Calibri"/>
      </rPr>
      <t>Agawam Development/Red Brook</t>
    </r>
    <r>
      <rPr>
        <sz val="12"/>
        <rFont val="Calibri"/>
      </rPr>
      <t xml:space="preserve"> </t>
    </r>
  </si>
  <si>
    <t xml:space="preserve">AD Makepeace Co. </t>
  </si>
  <si>
    <t>White Island Pond Bogs/Bourne Rd./Wareham Rd.</t>
  </si>
  <si>
    <t>Reconfigure bogs/pond</t>
  </si>
  <si>
    <t>Cranberry Road/Carverside Bogs</t>
  </si>
  <si>
    <t>A.D. Makepeace Co.</t>
  </si>
  <si>
    <t>Reconfigure bogs</t>
  </si>
  <si>
    <t xml:space="preserve">Off Long Pond Road </t>
  </si>
  <si>
    <t xml:space="preserve">Spencer Plymouth Realty LLC/Yellow Maple </t>
  </si>
  <si>
    <t>Subdivision Road (not built)</t>
  </si>
  <si>
    <t>Off Long Pond Road (same site as above)</t>
  </si>
  <si>
    <t>Hide church steeple</t>
  </si>
  <si>
    <t>Tispaquin Street</t>
  </si>
  <si>
    <t>Tispaquin Realty Corp./Arruda</t>
  </si>
  <si>
    <t>Cranberry bogs/pond</t>
  </si>
  <si>
    <t xml:space="preserve"> O'Donnell Sand &amp; Gravel (Permits) </t>
  </si>
  <si>
    <t>O'Donnell Realty Family Trust</t>
  </si>
  <si>
    <t>Filling</t>
  </si>
  <si>
    <t xml:space="preserve">Off Route 27/Oak St. Various Lots </t>
  </si>
  <si>
    <t>Ridder Farm/ADGA Realty LLC</t>
  </si>
  <si>
    <t>Ryco Excavating, Morse Brothers Cranberry/Oiva Hannula Cranberry</t>
  </si>
  <si>
    <t>Yes, truck route</t>
  </si>
  <si>
    <t>109 Neck Road</t>
  </si>
  <si>
    <t>Decas Cranberry/Ryco</t>
  </si>
  <si>
    <t xml:space="preserve">140 Tihonet Road, Wareham </t>
  </si>
  <si>
    <t>Indian Pond, Kingston</t>
  </si>
  <si>
    <t>Plympton Sand &amp; Gravel (Norrie)</t>
  </si>
  <si>
    <t>Lawsuit Pending</t>
  </si>
  <si>
    <t xml:space="preserve">Indianhead Realty, Inc. </t>
  </si>
  <si>
    <t>Churchill</t>
  </si>
  <si>
    <t>4 Lawsuits v. Town</t>
  </si>
  <si>
    <t>Morse Brothers Cranberry, Ryco Excavating</t>
  </si>
  <si>
    <t>Permit Application</t>
  </si>
  <si>
    <t>46 Federal Road</t>
  </si>
  <si>
    <t>Agriculture</t>
  </si>
  <si>
    <t>104 Tremont Street</t>
  </si>
  <si>
    <t xml:space="preserve">E.J. Cranberries, Inc. </t>
  </si>
  <si>
    <t>location</t>
  </si>
  <si>
    <t>owner</t>
  </si>
  <si>
    <t>volume</t>
  </si>
  <si>
    <t>size</t>
  </si>
  <si>
    <t>mining_reason</t>
  </si>
  <si>
    <t>ej_comm</t>
  </si>
  <si>
    <t>active</t>
  </si>
  <si>
    <t>wetlands</t>
  </si>
  <si>
    <t>removal_permit</t>
  </si>
  <si>
    <t>MESA_permit</t>
  </si>
  <si>
    <t>solar</t>
  </si>
  <si>
    <t>MEPA_form</t>
  </si>
  <si>
    <t xml:space="preserve"> Finney Bogs, Sppit Road-0 Pond St. (Permit)</t>
  </si>
  <si>
    <t>Federal Furce Cranberry</t>
  </si>
  <si>
    <t>Ferndes</t>
  </si>
  <si>
    <t xml:space="preserve">71 Charlotte Furce Road </t>
  </si>
  <si>
    <t>Kapell Pincle Watercourse Trust</t>
  </si>
  <si>
    <t xml:space="preserve"> 796 Federal Furce Road</t>
  </si>
  <si>
    <t xml:space="preserve"> 969 Federal Furce Road</t>
  </si>
  <si>
    <t>Lign Street/West Monponset Pond</t>
  </si>
  <si>
    <t>Lign Street, Halifax</t>
  </si>
  <si>
    <t>Former Federal Furce Cranberry</t>
  </si>
  <si>
    <t>Tremont Street</t>
  </si>
  <si>
    <t>Indian Street</t>
  </si>
  <si>
    <t>Green Street</t>
  </si>
  <si>
    <t>North Carver</t>
  </si>
  <si>
    <t>Park Avenue</t>
  </si>
  <si>
    <t xml:space="preserve"> </t>
  </si>
  <si>
    <t xml:space="preserve"> 360 Cherry Street, Plymouth, MA</t>
  </si>
  <si>
    <t>Commerce Park Colony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</si>
</sst>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ont>
    <font>
      <sz val="16"/>
      <color theme="1"/>
      <name val="Calibri"/>
    </font>
    <font>
      <sz val="8"/>
      <color theme="1"/>
      <name val="Calibri"/>
    </font>
    <font>
      <sz val="14"/>
      <color theme="1"/>
      <name val="Calibri"/>
    </font>
    <font>
      <sz val="10"/>
      <color theme="1"/>
      <name val="Calibri"/>
    </font>
    <font>
      <sz val="9"/>
      <color theme="1"/>
      <name val="Calibri"/>
    </font>
    <font>
      <sz val="12"/>
      <color rgb="FF000000"/>
      <name val="Calibri"/>
    </font>
    <font>
      <sz val="12"/>
      <color rgb="FF0563C1"/>
      <name val="Calibri"/>
    </font>
    <font>
      <sz val="12"/>
      <color theme="1"/>
      <name val="Calibri"/>
    </font>
    <font>
      <u/>
      <sz val="12"/>
      <color rgb="FF0563C1"/>
      <name val="Calibri"/>
    </font>
    <font>
      <u/>
      <sz val="12"/>
      <color rgb="FF0000FF"/>
      <name val="Calibri"/>
    </font>
    <font>
      <u/>
      <sz val="12"/>
      <color rgb="FF0000FF"/>
      <name val="Calibri"/>
    </font>
    <font>
      <u/>
      <sz val="11"/>
      <color rgb="FF0000FF"/>
      <name val="Calibri"/>
    </font>
    <font>
      <sz val="11"/>
      <color rgb="FF000000"/>
      <name val="Calibri"/>
    </font>
    <font>
      <u/>
      <sz val="12"/>
      <color rgb="FF0563C1"/>
      <name val="Calibri"/>
    </font>
    <font>
      <u/>
      <sz val="12"/>
      <color rgb="FF0563C1"/>
      <name val="Calibri"/>
    </font>
    <font>
      <sz val="13"/>
      <color theme="1"/>
      <name val="Calibri"/>
    </font>
    <font>
      <u/>
      <sz val="12"/>
      <color rgb="FF0000FF"/>
      <name val="Calibri"/>
    </font>
    <font>
      <u/>
      <sz val="12"/>
      <color rgb="FF0563C1"/>
      <name val="Calibri"/>
    </font>
    <font>
      <u/>
      <sz val="12"/>
      <color rgb="FF0563C1"/>
      <name val="Arial"/>
    </font>
    <font>
      <u/>
      <sz val="12"/>
      <color rgb="FF0000FF"/>
      <name val="Calibri"/>
    </font>
    <font>
      <u/>
      <sz val="12"/>
      <color rgb="FF0563C1"/>
      <name val="Calibri"/>
    </font>
    <font>
      <u/>
      <sz val="12"/>
      <color rgb="FF0563C1"/>
      <name val="Calibri"/>
    </font>
    <font>
      <u/>
      <sz val="11"/>
      <color rgb="FF0000FF"/>
      <name val="Calibri"/>
    </font>
    <font>
      <u/>
      <sz val="12"/>
      <color rgb="FF000000"/>
      <name val="Calibri"/>
    </font>
    <font>
      <sz val="12"/>
      <name val="Calibri"/>
    </font>
  </fonts>
  <fills count="6">
    <fill>
      <patternFill patternType="none"/>
    </fill>
    <fill>
      <patternFill patternType="gray125"/>
    </fill>
    <fill>
      <patternFill patternType="solid">
        <fgColor rgb="FFFEF2CB"/>
        <bgColor rgb="FFFEF2CB"/>
      </patternFill>
    </fill>
    <fill>
      <patternFill patternType="solid">
        <fgColor rgb="FFFFF2CC"/>
        <bgColor rgb="FFFFF2CC"/>
      </patternFill>
    </fill>
    <fill>
      <patternFill patternType="solid">
        <fgColor rgb="FFFFFFFF"/>
        <bgColor rgb="FFFFFFFF"/>
      </patternFill>
    </fill>
    <fill>
      <patternFill patternType="solid">
        <fgColor rgb="FFEA9999"/>
        <bgColor rgb="FFEA999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0" xfId="0" applyFont="1" applyFill="1"/>
    <xf numFmtId="0" fontId="7" fillId="4" borderId="0" xfId="0" applyFont="1" applyFill="1" applyAlignment="1">
      <alignment horizontal="center"/>
    </xf>
    <xf numFmtId="0" fontId="8" fillId="4" borderId="1" xfId="0" applyFont="1" applyFill="1" applyBorder="1" applyAlignment="1">
      <alignment horizontal="center"/>
    </xf>
    <xf numFmtId="0" fontId="9" fillId="5" borderId="1" xfId="0" applyFont="1" applyFill="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xf>
    <xf numFmtId="0" fontId="10" fillId="4" borderId="1" xfId="0" applyFont="1" applyFill="1" applyBorder="1" applyAlignment="1">
      <alignment horizontal="center"/>
    </xf>
    <xf numFmtId="3" fontId="9" fillId="0" borderId="1" xfId="0" applyNumberFormat="1" applyFont="1" applyBorder="1" applyAlignment="1">
      <alignment horizontal="center" vertical="center"/>
    </xf>
    <xf numFmtId="0" fontId="9" fillId="4" borderId="1" xfId="0" applyFont="1" applyFill="1" applyBorder="1" applyAlignment="1">
      <alignment horizontal="center"/>
    </xf>
    <xf numFmtId="0" fontId="7" fillId="4" borderId="1" xfId="0" applyFont="1" applyFill="1" applyBorder="1" applyAlignment="1">
      <alignment horizontal="center"/>
    </xf>
    <xf numFmtId="0" fontId="1" fillId="0" borderId="0" xfId="0" applyFont="1" applyAlignment="1">
      <alignment horizontal="center"/>
    </xf>
    <xf numFmtId="0" fontId="7" fillId="0" borderId="1" xfId="0" applyFont="1" applyBorder="1" applyAlignment="1">
      <alignment horizontal="center"/>
    </xf>
    <xf numFmtId="0" fontId="11" fillId="0" borderId="1" xfId="0" applyFont="1" applyBorder="1" applyAlignment="1">
      <alignment horizontal="center"/>
    </xf>
    <xf numFmtId="0" fontId="12" fillId="4" borderId="1" xfId="0" applyFont="1" applyFill="1" applyBorder="1" applyAlignment="1">
      <alignment horizontal="center"/>
    </xf>
    <xf numFmtId="0" fontId="13" fillId="0" borderId="0" xfId="0" applyFont="1" applyAlignment="1">
      <alignment horizontal="center"/>
    </xf>
    <xf numFmtId="0" fontId="1" fillId="5" borderId="0" xfId="0" applyFont="1" applyFill="1"/>
    <xf numFmtId="0" fontId="1" fillId="0" borderId="0" xfId="0" applyFont="1"/>
    <xf numFmtId="0" fontId="9" fillId="3" borderId="1" xfId="0" applyFont="1" applyFill="1" applyBorder="1" applyAlignment="1">
      <alignment horizontal="center" vertical="center"/>
    </xf>
    <xf numFmtId="0" fontId="14" fillId="0" borderId="0" xfId="0" applyFont="1" applyAlignment="1">
      <alignment horizontal="center"/>
    </xf>
    <xf numFmtId="0" fontId="15" fillId="4" borderId="0" xfId="0" applyFont="1" applyFill="1" applyAlignment="1">
      <alignment horizontal="center"/>
    </xf>
    <xf numFmtId="0" fontId="9" fillId="5" borderId="0" xfId="0" applyFont="1" applyFill="1" applyAlignment="1">
      <alignment horizontal="center" vertical="center"/>
    </xf>
    <xf numFmtId="3" fontId="9"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16" fillId="0" borderId="1" xfId="0" applyFont="1" applyBorder="1" applyAlignment="1">
      <alignment horizontal="center"/>
    </xf>
    <xf numFmtId="3" fontId="7" fillId="0" borderId="1" xfId="0" applyNumberFormat="1" applyFont="1" applyBorder="1" applyAlignment="1">
      <alignment horizontal="center" vertical="center"/>
    </xf>
    <xf numFmtId="0" fontId="9" fillId="5" borderId="1" xfId="0" applyFont="1" applyFill="1" applyBorder="1" applyAlignment="1">
      <alignment horizontal="center"/>
    </xf>
    <xf numFmtId="0" fontId="8" fillId="0" borderId="1" xfId="0" applyFont="1" applyBorder="1" applyAlignment="1">
      <alignment horizontal="center"/>
    </xf>
    <xf numFmtId="0" fontId="7" fillId="5" borderId="1" xfId="0" applyFont="1" applyFill="1" applyBorder="1" applyAlignment="1">
      <alignment horizontal="center" vertical="center"/>
    </xf>
    <xf numFmtId="0" fontId="17" fillId="4" borderId="1" xfId="0" applyFont="1" applyFill="1" applyBorder="1" applyAlignment="1">
      <alignment horizontal="center"/>
    </xf>
    <xf numFmtId="0" fontId="18" fillId="0" borderId="1" xfId="0" applyFont="1" applyBorder="1" applyAlignment="1">
      <alignment horizontal="center"/>
    </xf>
    <xf numFmtId="0" fontId="9" fillId="3" borderId="1" xfId="0" applyFont="1" applyFill="1" applyBorder="1" applyAlignment="1">
      <alignment horizontal="center"/>
    </xf>
    <xf numFmtId="0" fontId="9" fillId="4" borderId="2" xfId="0" applyFont="1" applyFill="1" applyBorder="1" applyAlignment="1">
      <alignment horizontal="center"/>
    </xf>
    <xf numFmtId="0" fontId="19" fillId="3" borderId="1" xfId="0" applyFont="1" applyFill="1" applyBorder="1" applyAlignment="1">
      <alignment horizontal="center"/>
    </xf>
    <xf numFmtId="0" fontId="20" fillId="0" borderId="1" xfId="0" applyFont="1" applyBorder="1" applyAlignment="1">
      <alignment horizontal="center"/>
    </xf>
    <xf numFmtId="3" fontId="1" fillId="0" borderId="0" xfId="0" applyNumberFormat="1" applyFont="1" applyAlignment="1">
      <alignment horizontal="center"/>
    </xf>
    <xf numFmtId="0" fontId="21" fillId="0" borderId="0" xfId="0" applyFont="1" applyAlignment="1">
      <alignment horizontal="center"/>
    </xf>
    <xf numFmtId="3" fontId="22" fillId="0" borderId="1" xfId="0" applyNumberFormat="1" applyFont="1" applyBorder="1" applyAlignment="1">
      <alignment horizontal="center" vertical="center"/>
    </xf>
    <xf numFmtId="0" fontId="23" fillId="0" borderId="1" xfId="0" applyFont="1" applyBorder="1" applyAlignment="1">
      <alignment horizontal="center"/>
    </xf>
    <xf numFmtId="3" fontId="9" fillId="0" borderId="1" xfId="0" applyNumberFormat="1" applyFont="1" applyBorder="1" applyAlignment="1">
      <alignment horizontal="center"/>
    </xf>
    <xf numFmtId="0" fontId="1" fillId="4" borderId="1" xfId="0" applyFont="1" applyFill="1" applyBorder="1" applyAlignment="1">
      <alignment horizontal="center"/>
    </xf>
    <xf numFmtId="0" fontId="1" fillId="0" borderId="1" xfId="0" applyFont="1" applyBorder="1" applyAlignment="1">
      <alignment horizontal="center"/>
    </xf>
    <xf numFmtId="0" fontId="9" fillId="0" borderId="1" xfId="0" applyFont="1" applyBorder="1"/>
    <xf numFmtId="0" fontId="24" fillId="4" borderId="1" xfId="0" applyFont="1" applyFill="1" applyBorder="1" applyAlignment="1">
      <alignment horizontal="center"/>
    </xf>
    <xf numFmtId="0" fontId="7" fillId="5" borderId="1" xfId="0" applyFont="1" applyFill="1" applyBorder="1" applyAlignment="1">
      <alignment horizontal="center"/>
    </xf>
    <xf numFmtId="3" fontId="9" fillId="0" borderId="1" xfId="0" applyNumberFormat="1" applyFont="1" applyBorder="1"/>
    <xf numFmtId="0" fontId="7"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DN1-FhUj3Qo&amp;t=18s" TargetMode="External"/><Relationship Id="rId18" Type="http://schemas.openxmlformats.org/officeDocument/2006/relationships/hyperlink" Target="https://youtu.be/qEmDmLJ0cxE" TargetMode="External"/><Relationship Id="rId26" Type="http://schemas.openxmlformats.org/officeDocument/2006/relationships/hyperlink" Target="https://www.youtube.com/watch?v=9152XXh9nU0&amp;t=47s" TargetMode="External"/><Relationship Id="rId39" Type="http://schemas.openxmlformats.org/officeDocument/2006/relationships/hyperlink" Target="https://drive.google.com/file/d/1GqnSpfh8HE1VH_ES63vVZfZaxGPzRRSS/view?usp=sharing" TargetMode="External"/><Relationship Id="rId21" Type="http://schemas.openxmlformats.org/officeDocument/2006/relationships/hyperlink" Target="https://drive.google.com/file/d/1KXvsL-FGiljOttCF48fKfQwHwNQSX0LE/view?usp=share_link" TargetMode="External"/><Relationship Id="rId34" Type="http://schemas.openxmlformats.org/officeDocument/2006/relationships/hyperlink" Target="https://savethecountywoodlot.com/illegal-solar-facility-on-lot-19e-abutting-wood-lot/" TargetMode="External"/><Relationship Id="rId42" Type="http://schemas.openxmlformats.org/officeDocument/2006/relationships/hyperlink" Target="https://communitylandandwater.org/another-cranberry-bog-hoax-35-acres-of-upland-targeted-for-strip-mining-on-indian-pond-kingston-ma/" TargetMode="External"/><Relationship Id="rId7" Type="http://schemas.openxmlformats.org/officeDocument/2006/relationships/hyperlink" Target="https://drive.google.com/file/d/1RO9uZgFPpPQh8gGyNG1iqb7pAOv_yGLQ/view?usp=share_link" TargetMode="External"/><Relationship Id="rId2" Type="http://schemas.openxmlformats.org/officeDocument/2006/relationships/hyperlink" Target="https://youtu.be/mlZfa_B4rXo" TargetMode="External"/><Relationship Id="rId16" Type="http://schemas.openxmlformats.org/officeDocument/2006/relationships/hyperlink" Target="https://youtu.be/ADoO1te6SY8" TargetMode="External"/><Relationship Id="rId29" Type="http://schemas.openxmlformats.org/officeDocument/2006/relationships/hyperlink" Target="https://www.youtube.com/watch?v=k4d5qJsxyiU" TargetMode="External"/><Relationship Id="rId1" Type="http://schemas.openxmlformats.org/officeDocument/2006/relationships/hyperlink" Target="https://www.youtube.com/watch?v=r5Hhoyv7V6I" TargetMode="External"/><Relationship Id="rId6" Type="http://schemas.openxmlformats.org/officeDocument/2006/relationships/hyperlink" Target="https://drive.google.com/file/d/1-22bqTFvQrLtOSHAFPg7kLM7eyOSRYsH/view?usp=share_link" TargetMode="External"/><Relationship Id="rId11" Type="http://schemas.openxmlformats.org/officeDocument/2006/relationships/hyperlink" Target="https://www.youtube.com/watch?v=xkAunb_joEs&amp;t=114s" TargetMode="External"/><Relationship Id="rId24" Type="http://schemas.openxmlformats.org/officeDocument/2006/relationships/hyperlink" Target="https://savethepinebarrens.org/2022/05/01/71-charlotte-furnace-road-wareham/" TargetMode="External"/><Relationship Id="rId32" Type="http://schemas.openxmlformats.org/officeDocument/2006/relationships/hyperlink" Target="https://drive.google.com/drive/folders/1aZNKW3rkk-kt0zNhgghSJdu6lvnLKt9U?usp=drive_link" TargetMode="External"/><Relationship Id="rId37" Type="http://schemas.openxmlformats.org/officeDocument/2006/relationships/hyperlink" Target="https://youtu.be/Axao8DC2H4M" TargetMode="External"/><Relationship Id="rId40" Type="http://schemas.openxmlformats.org/officeDocument/2006/relationships/hyperlink" Target="https://youtu.be/w9tMTz0vhJI" TargetMode="External"/><Relationship Id="rId45" Type="http://schemas.openxmlformats.org/officeDocument/2006/relationships/vmlDrawing" Target="../drawings/vmlDrawing1.vml"/><Relationship Id="rId5" Type="http://schemas.openxmlformats.org/officeDocument/2006/relationships/hyperlink" Target="https://drive.google.com/file/d/1S1DH1hOOv-rSFqRVg2DbhLHz5Rxy9qhY/view?usp=sharing" TargetMode="External"/><Relationship Id="rId15" Type="http://schemas.openxmlformats.org/officeDocument/2006/relationships/hyperlink" Target="https://www.youtube.com/watch?v=POu_OdYOOCE" TargetMode="External"/><Relationship Id="rId23" Type="http://schemas.openxmlformats.org/officeDocument/2006/relationships/hyperlink" Target="https://www.youtube.com/watch?v=anclsMNsyFg" TargetMode="External"/><Relationship Id="rId28" Type="http://schemas.openxmlformats.org/officeDocument/2006/relationships/hyperlink" Target="https://youtu.be/BRrTkSU5j3s" TargetMode="External"/><Relationship Id="rId36" Type="http://schemas.openxmlformats.org/officeDocument/2006/relationships/hyperlink" Target="https://savethecountywoodlot.com/description-of-the-wood-lot-mining-operation/" TargetMode="External"/><Relationship Id="rId10" Type="http://schemas.openxmlformats.org/officeDocument/2006/relationships/hyperlink" Target="https://youtu.be/PsTWfBgFbs4" TargetMode="External"/><Relationship Id="rId19" Type="http://schemas.openxmlformats.org/officeDocument/2006/relationships/hyperlink" Target="https://drive.google.com/file/d/1iBVwpUsZXw5JlPEk4H2jgzvOhUmcg5TV/view?usp=share_link" TargetMode="External"/><Relationship Id="rId31" Type="http://schemas.openxmlformats.org/officeDocument/2006/relationships/hyperlink" Target="https://docs.google.com/document/d/1Vnvy8KQ_YkRjB5rNXmammfrkLr_Ey08iF1zgtfaqc5c/edit?usp=sharing" TargetMode="External"/><Relationship Id="rId44" Type="http://schemas.openxmlformats.org/officeDocument/2006/relationships/hyperlink" Target="https://communitylandandwater.org/?s=halifax" TargetMode="External"/><Relationship Id="rId4" Type="http://schemas.openxmlformats.org/officeDocument/2006/relationships/hyperlink" Target="https://www.youtube.com/watch?v=QtnL20eM-Bw" TargetMode="External"/><Relationship Id="rId9" Type="http://schemas.openxmlformats.org/officeDocument/2006/relationships/hyperlink" Target="https://youtu.be/NrXmYHYgAuk" TargetMode="External"/><Relationship Id="rId14" Type="http://schemas.openxmlformats.org/officeDocument/2006/relationships/hyperlink" Target="https://drive.google.com/file/d/1Ede8wcTMCZ8l-9NisLjN48wjYPZAXg1f/view?usp=sharing" TargetMode="External"/><Relationship Id="rId22" Type="http://schemas.openxmlformats.org/officeDocument/2006/relationships/hyperlink" Target="https://drive.google.com/file/d/1zj0jy9o5F4kGIH79kFQfrGvDw0YBxDjm/view?usp=sharing" TargetMode="External"/><Relationship Id="rId27" Type="http://schemas.openxmlformats.org/officeDocument/2006/relationships/hyperlink" Target="https://youtu.be/PsTWfBgFbs4" TargetMode="External"/><Relationship Id="rId30" Type="http://schemas.openxmlformats.org/officeDocument/2006/relationships/hyperlink" Target="https://drive.google.com/file/d/1lHroPtxkv6CWuiFsz9dRMaJ3Wd1wgPW9/view?usp=share_link" TargetMode="External"/><Relationship Id="rId35" Type="http://schemas.openxmlformats.org/officeDocument/2006/relationships/hyperlink" Target="https://savethecountywoodlot.com/illegal-solar-facility-on-lot-19e-abutting-wood-lot/" TargetMode="External"/><Relationship Id="rId43" Type="http://schemas.openxmlformats.org/officeDocument/2006/relationships/hyperlink" Target="http://masscases.com/cases/land/2018/2018-16-000727-JUDGMENT.html" TargetMode="External"/><Relationship Id="rId8" Type="http://schemas.openxmlformats.org/officeDocument/2006/relationships/hyperlink" Target="https://youtu.be/uTRJ4Cfrz-M" TargetMode="External"/><Relationship Id="rId3" Type="http://schemas.openxmlformats.org/officeDocument/2006/relationships/hyperlink" Target="https://www.youtube.com/watch?v=hCnSlPsx7vo&amp;t=355s" TargetMode="External"/><Relationship Id="rId12" Type="http://schemas.openxmlformats.org/officeDocument/2006/relationships/hyperlink" Target="https://www.youtube.com/watch?v=OhfHL1XkAaU" TargetMode="External"/><Relationship Id="rId17" Type="http://schemas.openxmlformats.org/officeDocument/2006/relationships/hyperlink" Target="https://youtu.be/vDrkQYqrLJU" TargetMode="External"/><Relationship Id="rId25" Type="http://schemas.openxmlformats.org/officeDocument/2006/relationships/hyperlink" Target="https://savethepinebarrens.org/2022/04/29/tihonet-east-160-tihonet-road-wareham-strip-mine-solar/" TargetMode="External"/><Relationship Id="rId33" Type="http://schemas.openxmlformats.org/officeDocument/2006/relationships/hyperlink" Target="https://youtu.be/CD_BPLA9DzY" TargetMode="External"/><Relationship Id="rId38" Type="http://schemas.openxmlformats.org/officeDocument/2006/relationships/hyperlink" Target="https://www.youtube.com/watch?v=JaRjuOEbvZk&amp;list=PLDPhmu8GbbLKrk2FQ4AEWD2S688P6mBkH" TargetMode="External"/><Relationship Id="rId46" Type="http://schemas.openxmlformats.org/officeDocument/2006/relationships/comments" Target="../comments1.xml"/><Relationship Id="rId20" Type="http://schemas.openxmlformats.org/officeDocument/2006/relationships/hyperlink" Target="https://www.youtube.com/watch?v=qEmDmLJ0cxE" TargetMode="External"/><Relationship Id="rId41" Type="http://schemas.openxmlformats.org/officeDocument/2006/relationships/hyperlink" Target="https://communitylandandwater.org/?s=140+tihonet+min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0"/>
  <sheetViews>
    <sheetView tabSelected="1" workbookViewId="0">
      <pane xSplit="1" ySplit="1" topLeftCell="B55" activePane="bottomRight" state="frozen"/>
      <selection pane="topRight" activeCell="C1" sqref="C1"/>
      <selection pane="bottomLeft" activeCell="A3" sqref="A3"/>
      <selection pane="bottomRight" activeCell="B69" sqref="B69"/>
    </sheetView>
  </sheetViews>
  <sheetFormatPr defaultColWidth="14.44140625" defaultRowHeight="15" customHeight="1" x14ac:dyDescent="0.3"/>
  <cols>
    <col min="1" max="1" width="63.109375" customWidth="1"/>
    <col min="2" max="2" width="31.6640625" customWidth="1"/>
    <col min="3" max="3" width="27.44140625" customWidth="1"/>
    <col min="5" max="5" width="31.5546875" customWidth="1"/>
    <col min="6" max="6" width="23.5546875" customWidth="1"/>
    <col min="7" max="7" width="15.88671875" customWidth="1"/>
    <col min="8" max="8" width="18.33203125" customWidth="1"/>
    <col min="9" max="10" width="8.6640625" customWidth="1"/>
    <col min="11" max="11" width="14.5546875" customWidth="1"/>
    <col min="12" max="12" width="22.44140625" customWidth="1"/>
  </cols>
  <sheetData>
    <row r="1" spans="1:12" ht="27.75" customHeight="1" x14ac:dyDescent="0.3">
      <c r="A1" s="1" t="s">
        <v>240</v>
      </c>
      <c r="B1" s="1" t="s">
        <v>241</v>
      </c>
      <c r="C1" s="2" t="s">
        <v>242</v>
      </c>
      <c r="D1" s="3" t="s">
        <v>243</v>
      </c>
      <c r="E1" s="4" t="s">
        <v>244</v>
      </c>
      <c r="F1" s="5" t="s">
        <v>245</v>
      </c>
      <c r="G1" s="6" t="s">
        <v>246</v>
      </c>
      <c r="H1" s="6" t="s">
        <v>247</v>
      </c>
      <c r="I1" s="7" t="s">
        <v>248</v>
      </c>
      <c r="J1" s="6" t="s">
        <v>249</v>
      </c>
      <c r="K1" s="6" t="s">
        <v>250</v>
      </c>
      <c r="L1" s="6" t="s">
        <v>251</v>
      </c>
    </row>
    <row r="2" spans="1:12" ht="18.75" customHeight="1" x14ac:dyDescent="0.3">
      <c r="A2" s="9" t="s">
        <v>0</v>
      </c>
      <c r="B2" s="10" t="s">
        <v>1</v>
      </c>
      <c r="C2" s="11">
        <v>6652425</v>
      </c>
      <c r="D2" s="12">
        <v>105</v>
      </c>
      <c r="E2" s="13" t="s">
        <v>2</v>
      </c>
      <c r="F2" s="13" t="s">
        <v>3</v>
      </c>
      <c r="G2" s="13" t="s">
        <v>3</v>
      </c>
      <c r="H2" s="13" t="s">
        <v>4</v>
      </c>
      <c r="I2" s="13" t="s">
        <v>3</v>
      </c>
      <c r="J2" s="13" t="s">
        <v>5</v>
      </c>
      <c r="K2" s="13" t="s">
        <v>3</v>
      </c>
      <c r="L2" s="13" t="s">
        <v>6</v>
      </c>
    </row>
    <row r="3" spans="1:12" ht="15.6" x14ac:dyDescent="0.3">
      <c r="A3" s="14" t="s">
        <v>7</v>
      </c>
      <c r="B3" s="10" t="s">
        <v>1</v>
      </c>
      <c r="C3" s="11">
        <v>3691493</v>
      </c>
      <c r="D3" s="12">
        <v>52</v>
      </c>
      <c r="E3" s="13" t="s">
        <v>8</v>
      </c>
      <c r="F3" s="13" t="s">
        <v>3</v>
      </c>
      <c r="G3" s="13" t="s">
        <v>3</v>
      </c>
      <c r="H3" s="13" t="s">
        <v>3</v>
      </c>
      <c r="I3" s="13" t="s">
        <v>3</v>
      </c>
      <c r="J3" s="13" t="s">
        <v>9</v>
      </c>
      <c r="K3" s="13" t="s">
        <v>10</v>
      </c>
      <c r="L3" s="13" t="s">
        <v>6</v>
      </c>
    </row>
    <row r="4" spans="1:12" ht="15.6" x14ac:dyDescent="0.3">
      <c r="A4" s="14" t="s">
        <v>11</v>
      </c>
      <c r="B4" s="10" t="s">
        <v>1</v>
      </c>
      <c r="C4" s="15">
        <v>581000</v>
      </c>
      <c r="D4" s="12">
        <v>41</v>
      </c>
      <c r="E4" s="13" t="s">
        <v>12</v>
      </c>
      <c r="F4" s="13" t="s">
        <v>3</v>
      </c>
      <c r="G4" s="13" t="s">
        <v>4</v>
      </c>
      <c r="H4" s="13" t="s">
        <v>3</v>
      </c>
      <c r="I4" s="13" t="s">
        <v>3</v>
      </c>
      <c r="J4" s="13" t="s">
        <v>13</v>
      </c>
      <c r="K4" s="13"/>
      <c r="L4" s="13" t="s">
        <v>6</v>
      </c>
    </row>
    <row r="5" spans="1:12" ht="15.6" x14ac:dyDescent="0.3">
      <c r="A5" s="14" t="s">
        <v>14</v>
      </c>
      <c r="B5" s="10" t="s">
        <v>1</v>
      </c>
      <c r="C5" s="12">
        <v>1158566</v>
      </c>
      <c r="D5" s="12">
        <v>25</v>
      </c>
      <c r="E5" s="13" t="s">
        <v>15</v>
      </c>
      <c r="F5" s="13" t="s">
        <v>3</v>
      </c>
      <c r="G5" s="13" t="s">
        <v>3</v>
      </c>
      <c r="H5" s="13" t="s">
        <v>3</v>
      </c>
      <c r="I5" s="13" t="s">
        <v>4</v>
      </c>
      <c r="J5" s="13" t="s">
        <v>3</v>
      </c>
      <c r="K5" s="13" t="s">
        <v>3</v>
      </c>
      <c r="L5" s="13" t="s">
        <v>6</v>
      </c>
    </row>
    <row r="6" spans="1:12" ht="15.6" x14ac:dyDescent="0.3">
      <c r="A6" s="16" t="s">
        <v>16</v>
      </c>
      <c r="B6" s="10" t="s">
        <v>1</v>
      </c>
      <c r="C6" s="11">
        <f>488769/5</f>
        <v>97753.8</v>
      </c>
      <c r="D6" s="12">
        <v>85</v>
      </c>
      <c r="E6" s="13" t="s">
        <v>15</v>
      </c>
      <c r="F6" s="13" t="s">
        <v>3</v>
      </c>
      <c r="G6" s="13" t="s">
        <v>4</v>
      </c>
      <c r="H6" s="13" t="s">
        <v>3</v>
      </c>
      <c r="I6" s="13" t="s">
        <v>5</v>
      </c>
      <c r="J6" s="13" t="s">
        <v>17</v>
      </c>
      <c r="K6" s="13" t="s">
        <v>3</v>
      </c>
      <c r="L6" s="13" t="s">
        <v>6</v>
      </c>
    </row>
    <row r="7" spans="1:12" ht="15.6" x14ac:dyDescent="0.3">
      <c r="A7" s="17" t="s">
        <v>252</v>
      </c>
      <c r="B7" s="10" t="s">
        <v>1</v>
      </c>
      <c r="C7" s="11">
        <f t="shared" ref="C7:C10" si="0">488769/5</f>
        <v>97753.8</v>
      </c>
      <c r="D7" s="13"/>
      <c r="E7" s="13" t="s">
        <v>18</v>
      </c>
      <c r="F7" s="13" t="s">
        <v>4</v>
      </c>
      <c r="G7" s="13"/>
      <c r="H7" s="13" t="s">
        <v>3</v>
      </c>
      <c r="I7" s="13" t="s">
        <v>3</v>
      </c>
      <c r="J7" s="13" t="s">
        <v>13</v>
      </c>
      <c r="K7" s="13" t="s">
        <v>3</v>
      </c>
      <c r="L7" s="13" t="s">
        <v>4</v>
      </c>
    </row>
    <row r="8" spans="1:12" ht="15.6" x14ac:dyDescent="0.3">
      <c r="A8" s="18" t="s">
        <v>19</v>
      </c>
      <c r="B8" s="10" t="s">
        <v>1</v>
      </c>
      <c r="C8" s="11">
        <f t="shared" si="0"/>
        <v>97753.8</v>
      </c>
      <c r="D8" s="13"/>
      <c r="E8" s="13" t="s">
        <v>18</v>
      </c>
      <c r="F8" s="13" t="s">
        <v>4</v>
      </c>
      <c r="G8" s="13"/>
      <c r="H8" s="13" t="s">
        <v>3</v>
      </c>
      <c r="I8" s="13" t="s">
        <v>3</v>
      </c>
      <c r="J8" s="13" t="s">
        <v>13</v>
      </c>
      <c r="K8" s="13" t="s">
        <v>3</v>
      </c>
      <c r="L8" s="13" t="s">
        <v>4</v>
      </c>
    </row>
    <row r="9" spans="1:12" ht="15.6" x14ac:dyDescent="0.3">
      <c r="A9" s="16" t="s">
        <v>20</v>
      </c>
      <c r="B9" s="10" t="s">
        <v>21</v>
      </c>
      <c r="C9" s="11">
        <f t="shared" si="0"/>
        <v>97753.8</v>
      </c>
      <c r="D9" s="12">
        <v>13</v>
      </c>
      <c r="E9" s="13" t="s">
        <v>15</v>
      </c>
      <c r="F9" s="13" t="s">
        <v>3</v>
      </c>
      <c r="G9" s="13" t="s">
        <v>4</v>
      </c>
      <c r="H9" s="13"/>
      <c r="I9" s="13" t="s">
        <v>3</v>
      </c>
      <c r="J9" s="13" t="s">
        <v>13</v>
      </c>
      <c r="K9" s="13" t="s">
        <v>3</v>
      </c>
      <c r="L9" s="13" t="s">
        <v>4</v>
      </c>
    </row>
    <row r="10" spans="1:12" ht="15.6" x14ac:dyDescent="0.3">
      <c r="A10" s="8" t="s">
        <v>22</v>
      </c>
      <c r="B10" s="10" t="s">
        <v>1</v>
      </c>
      <c r="C10" s="11">
        <f t="shared" si="0"/>
        <v>97753.8</v>
      </c>
      <c r="D10" s="13">
        <v>15</v>
      </c>
      <c r="E10" s="13" t="s">
        <v>23</v>
      </c>
      <c r="F10" s="13"/>
      <c r="G10" s="13"/>
      <c r="H10" s="13"/>
      <c r="I10" s="13" t="s">
        <v>3</v>
      </c>
      <c r="J10" s="13" t="s">
        <v>13</v>
      </c>
      <c r="K10" s="13"/>
      <c r="L10" s="13" t="s">
        <v>4</v>
      </c>
    </row>
    <row r="11" spans="1:12" ht="15.6" x14ac:dyDescent="0.3">
      <c r="A11" s="8"/>
      <c r="B11" s="10" t="s">
        <v>1</v>
      </c>
      <c r="C11" s="15">
        <v>1716000</v>
      </c>
      <c r="D11" s="13"/>
      <c r="E11" s="13"/>
      <c r="F11" s="13"/>
      <c r="G11" s="13"/>
      <c r="H11" s="13"/>
      <c r="I11" s="13"/>
      <c r="J11" s="13"/>
      <c r="K11" s="13"/>
      <c r="L11" s="13"/>
    </row>
    <row r="12" spans="1:12" ht="15.6" x14ac:dyDescent="0.3">
      <c r="A12" s="17" t="s">
        <v>24</v>
      </c>
      <c r="B12" s="10" t="s">
        <v>1</v>
      </c>
      <c r="C12" s="15">
        <v>1687990</v>
      </c>
      <c r="D12" s="13"/>
      <c r="E12" s="13"/>
      <c r="F12" s="13"/>
      <c r="G12" s="13"/>
      <c r="H12" s="13"/>
      <c r="I12" s="13" t="s">
        <v>3</v>
      </c>
      <c r="J12" s="13" t="s">
        <v>13</v>
      </c>
      <c r="K12" s="13"/>
      <c r="L12" s="13" t="s">
        <v>4</v>
      </c>
    </row>
    <row r="13" spans="1:12" ht="15.6" x14ac:dyDescent="0.3">
      <c r="A13" s="14" t="s">
        <v>25</v>
      </c>
      <c r="B13" s="10" t="s">
        <v>26</v>
      </c>
      <c r="C13" s="12">
        <v>2494913</v>
      </c>
      <c r="D13" s="12">
        <v>18</v>
      </c>
      <c r="E13" s="13" t="s">
        <v>23</v>
      </c>
      <c r="F13" s="19" t="s">
        <v>4</v>
      </c>
      <c r="G13" s="13" t="s">
        <v>3</v>
      </c>
      <c r="H13" s="13" t="s">
        <v>3</v>
      </c>
      <c r="I13" s="20" t="s">
        <v>3</v>
      </c>
      <c r="J13" s="13" t="s">
        <v>13</v>
      </c>
      <c r="K13" s="13" t="s">
        <v>27</v>
      </c>
      <c r="L13" s="13" t="s">
        <v>4</v>
      </c>
    </row>
    <row r="14" spans="1:12" ht="15.6" x14ac:dyDescent="0.3">
      <c r="A14" s="16" t="s">
        <v>28</v>
      </c>
      <c r="B14" s="10" t="s">
        <v>29</v>
      </c>
      <c r="C14" s="15">
        <v>120000</v>
      </c>
      <c r="D14" s="13">
        <v>6</v>
      </c>
      <c r="E14" s="13" t="s">
        <v>30</v>
      </c>
      <c r="F14" s="13" t="s">
        <v>4</v>
      </c>
      <c r="G14" s="13" t="s">
        <v>3</v>
      </c>
      <c r="H14" s="20" t="s">
        <v>31</v>
      </c>
      <c r="I14" s="20" t="s">
        <v>3</v>
      </c>
      <c r="J14" s="13" t="s">
        <v>13</v>
      </c>
      <c r="K14" s="13" t="s">
        <v>3</v>
      </c>
      <c r="L14" s="13" t="s">
        <v>4</v>
      </c>
    </row>
    <row r="15" spans="1:12" ht="15.6" x14ac:dyDescent="0.3">
      <c r="A15" s="14" t="s">
        <v>32</v>
      </c>
      <c r="B15" s="10" t="s">
        <v>33</v>
      </c>
      <c r="C15" s="12">
        <v>451591</v>
      </c>
      <c r="D15" s="12">
        <v>22</v>
      </c>
      <c r="E15" s="13" t="s">
        <v>15</v>
      </c>
      <c r="F15" s="13" t="s">
        <v>4</v>
      </c>
      <c r="G15" s="13" t="s">
        <v>4</v>
      </c>
      <c r="H15" s="13"/>
      <c r="I15" s="13"/>
      <c r="J15" s="13" t="s">
        <v>13</v>
      </c>
      <c r="K15" s="13" t="s">
        <v>3</v>
      </c>
      <c r="L15" s="13" t="s">
        <v>34</v>
      </c>
    </row>
    <row r="16" spans="1:12" ht="15.6" x14ac:dyDescent="0.3">
      <c r="A16" s="14" t="s">
        <v>35</v>
      </c>
      <c r="B16" s="10" t="s">
        <v>36</v>
      </c>
      <c r="C16" s="12">
        <v>568666</v>
      </c>
      <c r="D16" s="12">
        <v>10</v>
      </c>
      <c r="E16" s="13" t="s">
        <v>23</v>
      </c>
      <c r="F16" s="13" t="s">
        <v>3</v>
      </c>
      <c r="G16" s="13" t="s">
        <v>3</v>
      </c>
      <c r="H16" s="13" t="s">
        <v>3</v>
      </c>
      <c r="I16" s="13"/>
      <c r="J16" s="13" t="s">
        <v>13</v>
      </c>
      <c r="K16" s="13"/>
      <c r="L16" s="13" t="s">
        <v>4</v>
      </c>
    </row>
    <row r="17" spans="1:12" ht="15.6" x14ac:dyDescent="0.3">
      <c r="A17" s="21" t="s">
        <v>37</v>
      </c>
      <c r="B17" s="10" t="s">
        <v>36</v>
      </c>
      <c r="C17" s="12">
        <v>22049</v>
      </c>
      <c r="D17" s="12">
        <v>3</v>
      </c>
      <c r="E17" s="13" t="s">
        <v>38</v>
      </c>
      <c r="F17" s="13" t="s">
        <v>3</v>
      </c>
      <c r="G17" s="13" t="s">
        <v>4</v>
      </c>
      <c r="H17" s="13" t="s">
        <v>3</v>
      </c>
      <c r="I17" s="13" t="s">
        <v>3</v>
      </c>
      <c r="J17" s="13" t="s">
        <v>13</v>
      </c>
      <c r="K17" s="13"/>
      <c r="L17" s="13" t="s">
        <v>4</v>
      </c>
    </row>
    <row r="18" spans="1:12" ht="15.6" x14ac:dyDescent="0.3">
      <c r="A18" s="17" t="s">
        <v>39</v>
      </c>
      <c r="B18" s="10" t="s">
        <v>36</v>
      </c>
      <c r="C18" s="15">
        <v>450000</v>
      </c>
      <c r="D18" s="12">
        <v>27</v>
      </c>
      <c r="E18" s="13" t="s">
        <v>38</v>
      </c>
      <c r="F18" s="13" t="s">
        <v>3</v>
      </c>
      <c r="G18" s="13" t="s">
        <v>3</v>
      </c>
      <c r="H18" s="13" t="s">
        <v>3</v>
      </c>
      <c r="I18" s="13"/>
      <c r="J18" s="13" t="s">
        <v>13</v>
      </c>
      <c r="K18" s="13"/>
      <c r="L18" s="13" t="s">
        <v>4</v>
      </c>
    </row>
    <row r="19" spans="1:12" ht="15.6" x14ac:dyDescent="0.3">
      <c r="A19" s="21" t="s">
        <v>40</v>
      </c>
      <c r="B19" s="10" t="s">
        <v>41</v>
      </c>
      <c r="C19" s="12">
        <v>75393</v>
      </c>
      <c r="D19" s="12">
        <v>4</v>
      </c>
      <c r="E19" s="13" t="s">
        <v>23</v>
      </c>
      <c r="F19" s="13" t="s">
        <v>3</v>
      </c>
      <c r="G19" s="13" t="s">
        <v>3</v>
      </c>
      <c r="H19" s="13"/>
      <c r="I19" s="13" t="s">
        <v>4</v>
      </c>
      <c r="J19" s="13" t="s">
        <v>13</v>
      </c>
      <c r="K19" s="13"/>
      <c r="L19" s="13" t="s">
        <v>4</v>
      </c>
    </row>
    <row r="20" spans="1:12" ht="14.4" x14ac:dyDescent="0.3">
      <c r="A20" s="22" t="s">
        <v>42</v>
      </c>
      <c r="B20" s="23" t="s">
        <v>43</v>
      </c>
      <c r="C20" s="18"/>
      <c r="D20" s="18">
        <v>25</v>
      </c>
      <c r="E20" s="18" t="s">
        <v>23</v>
      </c>
      <c r="F20" s="18" t="s">
        <v>3</v>
      </c>
      <c r="G20" s="24"/>
      <c r="H20" s="24"/>
      <c r="I20" s="24"/>
      <c r="J20" s="24" t="s">
        <v>13</v>
      </c>
      <c r="K20" s="18"/>
      <c r="L20" s="18" t="s">
        <v>4</v>
      </c>
    </row>
    <row r="21" spans="1:12" ht="15.6" x14ac:dyDescent="0.3">
      <c r="A21" s="14" t="s">
        <v>44</v>
      </c>
      <c r="B21" s="10" t="s">
        <v>45</v>
      </c>
      <c r="C21" s="15">
        <v>62000</v>
      </c>
      <c r="D21" s="12">
        <v>11</v>
      </c>
      <c r="E21" s="13" t="s">
        <v>46</v>
      </c>
      <c r="F21" s="13" t="s">
        <v>47</v>
      </c>
      <c r="G21" s="13"/>
      <c r="H21" s="13"/>
      <c r="I21" s="13" t="s">
        <v>3</v>
      </c>
      <c r="J21" s="13" t="s">
        <v>13</v>
      </c>
      <c r="K21" s="13"/>
      <c r="L21" s="13" t="s">
        <v>4</v>
      </c>
    </row>
    <row r="22" spans="1:12" ht="15.6" x14ac:dyDescent="0.3">
      <c r="A22" s="14" t="s">
        <v>48</v>
      </c>
      <c r="B22" s="10" t="s">
        <v>45</v>
      </c>
      <c r="C22" s="15">
        <v>40000</v>
      </c>
      <c r="D22" s="12">
        <v>6</v>
      </c>
      <c r="E22" s="13" t="s">
        <v>49</v>
      </c>
      <c r="F22" s="13" t="s">
        <v>47</v>
      </c>
      <c r="G22" s="13" t="s">
        <v>3</v>
      </c>
      <c r="H22" s="13" t="s">
        <v>3</v>
      </c>
      <c r="I22" s="13" t="s">
        <v>3</v>
      </c>
      <c r="J22" s="13" t="s">
        <v>13</v>
      </c>
      <c r="K22" s="13"/>
      <c r="L22" s="13" t="s">
        <v>4</v>
      </c>
    </row>
    <row r="23" spans="1:12" ht="15.6" x14ac:dyDescent="0.3">
      <c r="A23" s="21" t="s">
        <v>50</v>
      </c>
      <c r="B23" s="10" t="s">
        <v>51</v>
      </c>
      <c r="C23" s="12">
        <v>334231</v>
      </c>
      <c r="D23" s="12">
        <v>10</v>
      </c>
      <c r="E23" s="13" t="s">
        <v>23</v>
      </c>
      <c r="F23" s="13" t="s">
        <v>47</v>
      </c>
      <c r="G23" s="13" t="s">
        <v>3</v>
      </c>
      <c r="H23" s="13"/>
      <c r="I23" s="13" t="s">
        <v>3</v>
      </c>
      <c r="J23" s="13" t="s">
        <v>13</v>
      </c>
      <c r="K23" s="13"/>
      <c r="L23" s="13" t="s">
        <v>4</v>
      </c>
    </row>
    <row r="24" spans="1:12" ht="15.6" x14ac:dyDescent="0.3">
      <c r="A24" s="16" t="s">
        <v>52</v>
      </c>
      <c r="B24" s="10" t="s">
        <v>253</v>
      </c>
      <c r="C24" s="15">
        <v>50000</v>
      </c>
      <c r="D24" s="12">
        <v>102</v>
      </c>
      <c r="E24" s="13" t="s">
        <v>23</v>
      </c>
      <c r="F24" s="13" t="s">
        <v>3</v>
      </c>
      <c r="G24" s="13" t="s">
        <v>3</v>
      </c>
      <c r="H24" s="13" t="s">
        <v>3</v>
      </c>
      <c r="I24" s="13" t="s">
        <v>3</v>
      </c>
      <c r="J24" s="13" t="s">
        <v>13</v>
      </c>
      <c r="K24" s="13" t="s">
        <v>3</v>
      </c>
      <c r="L24" s="13" t="s">
        <v>4</v>
      </c>
    </row>
    <row r="25" spans="1:12" ht="15.6" x14ac:dyDescent="0.3">
      <c r="A25" s="16" t="s">
        <v>53</v>
      </c>
      <c r="B25" s="10" t="s">
        <v>253</v>
      </c>
      <c r="C25" s="15">
        <v>2250000</v>
      </c>
      <c r="D25" s="12"/>
      <c r="E25" s="13" t="s">
        <v>23</v>
      </c>
      <c r="F25" s="13" t="s">
        <v>3</v>
      </c>
      <c r="G25" s="13" t="s">
        <v>3</v>
      </c>
      <c r="H25" s="13" t="s">
        <v>3</v>
      </c>
      <c r="I25" s="13" t="s">
        <v>3</v>
      </c>
      <c r="J25" s="13" t="s">
        <v>13</v>
      </c>
      <c r="K25" s="13" t="s">
        <v>3</v>
      </c>
      <c r="L25" s="13" t="s">
        <v>4</v>
      </c>
    </row>
    <row r="26" spans="1:12" ht="15.6" x14ac:dyDescent="0.3">
      <c r="A26" s="16" t="s">
        <v>54</v>
      </c>
      <c r="B26" s="10" t="s">
        <v>253</v>
      </c>
      <c r="C26" s="15">
        <v>60000</v>
      </c>
      <c r="D26" s="12"/>
      <c r="E26" s="13" t="s">
        <v>23</v>
      </c>
      <c r="F26" s="13" t="s">
        <v>3</v>
      </c>
      <c r="G26" s="13" t="s">
        <v>3</v>
      </c>
      <c r="H26" s="13" t="s">
        <v>3</v>
      </c>
      <c r="I26" s="13" t="s">
        <v>3</v>
      </c>
      <c r="J26" s="13" t="s">
        <v>3</v>
      </c>
      <c r="K26" s="13" t="s">
        <v>3</v>
      </c>
      <c r="L26" s="13" t="s">
        <v>4</v>
      </c>
    </row>
    <row r="27" spans="1:12" ht="15.6" x14ac:dyDescent="0.3">
      <c r="A27" s="16" t="s">
        <v>55</v>
      </c>
      <c r="B27" s="10" t="s">
        <v>253</v>
      </c>
      <c r="C27" s="15">
        <v>350000</v>
      </c>
      <c r="D27" s="12"/>
      <c r="E27" s="13" t="s">
        <v>15</v>
      </c>
      <c r="F27" s="13" t="s">
        <v>3</v>
      </c>
      <c r="G27" s="13" t="s">
        <v>3</v>
      </c>
      <c r="H27" s="13" t="s">
        <v>3</v>
      </c>
      <c r="I27" s="13" t="s">
        <v>3</v>
      </c>
      <c r="J27" s="13" t="s">
        <v>3</v>
      </c>
      <c r="K27" s="20" t="s">
        <v>56</v>
      </c>
      <c r="L27" s="13" t="s">
        <v>4</v>
      </c>
    </row>
    <row r="28" spans="1:12" ht="15.6" x14ac:dyDescent="0.3">
      <c r="A28" s="14" t="s">
        <v>57</v>
      </c>
      <c r="B28" s="10" t="s">
        <v>58</v>
      </c>
      <c r="C28" s="12">
        <v>647837</v>
      </c>
      <c r="D28" s="12">
        <v>50</v>
      </c>
      <c r="E28" s="13" t="s">
        <v>23</v>
      </c>
      <c r="F28" s="13" t="s">
        <v>3</v>
      </c>
      <c r="G28" s="13" t="s">
        <v>3</v>
      </c>
      <c r="H28" s="13" t="s">
        <v>3</v>
      </c>
      <c r="I28" s="13" t="s">
        <v>3</v>
      </c>
      <c r="J28" s="13" t="s">
        <v>13</v>
      </c>
      <c r="K28" s="13"/>
      <c r="L28" s="13" t="s">
        <v>4</v>
      </c>
    </row>
    <row r="29" spans="1:12" ht="15.6" x14ac:dyDescent="0.3">
      <c r="A29" s="18"/>
      <c r="B29" s="10" t="s">
        <v>58</v>
      </c>
      <c r="C29" s="15">
        <v>400000</v>
      </c>
      <c r="D29" s="12"/>
      <c r="E29" s="13" t="s">
        <v>23</v>
      </c>
      <c r="F29" s="13" t="s">
        <v>3</v>
      </c>
      <c r="G29" s="13"/>
      <c r="H29" s="13"/>
      <c r="I29" s="13"/>
      <c r="J29" s="13" t="s">
        <v>13</v>
      </c>
      <c r="K29" s="13"/>
      <c r="L29" s="13" t="s">
        <v>4</v>
      </c>
    </row>
    <row r="30" spans="1:12" ht="15.6" x14ac:dyDescent="0.3">
      <c r="A30" s="16" t="s">
        <v>59</v>
      </c>
      <c r="B30" s="10" t="s">
        <v>60</v>
      </c>
      <c r="C30" s="12"/>
      <c r="D30" s="12">
        <v>22</v>
      </c>
      <c r="E30" s="13" t="s">
        <v>23</v>
      </c>
      <c r="F30" s="13" t="s">
        <v>3</v>
      </c>
      <c r="G30" s="13"/>
      <c r="H30" s="13"/>
      <c r="I30" s="13"/>
      <c r="J30" s="13" t="s">
        <v>13</v>
      </c>
      <c r="K30" s="13"/>
      <c r="L30" s="13" t="s">
        <v>4</v>
      </c>
    </row>
    <row r="31" spans="1:12" ht="15.75" customHeight="1" x14ac:dyDescent="0.3">
      <c r="A31" s="14" t="s">
        <v>61</v>
      </c>
      <c r="B31" s="25" t="s">
        <v>62</v>
      </c>
      <c r="C31" s="12">
        <v>557349</v>
      </c>
      <c r="D31" s="12">
        <v>22</v>
      </c>
      <c r="E31" s="13" t="s">
        <v>63</v>
      </c>
      <c r="F31" s="19" t="s">
        <v>4</v>
      </c>
      <c r="G31" s="13"/>
      <c r="H31" s="13" t="s">
        <v>3</v>
      </c>
      <c r="I31" s="13" t="s">
        <v>3</v>
      </c>
      <c r="J31" s="13" t="s">
        <v>4</v>
      </c>
      <c r="K31" s="13" t="s">
        <v>4</v>
      </c>
      <c r="L31" s="13" t="s">
        <v>3</v>
      </c>
    </row>
    <row r="32" spans="1:12" ht="15.75" customHeight="1" x14ac:dyDescent="0.3">
      <c r="A32" s="26" t="s">
        <v>64</v>
      </c>
      <c r="B32" s="7" t="s">
        <v>62</v>
      </c>
      <c r="C32" s="18">
        <v>207485</v>
      </c>
      <c r="D32" s="18"/>
      <c r="E32" s="18"/>
      <c r="G32" s="18" t="s">
        <v>4</v>
      </c>
      <c r="H32" s="24"/>
      <c r="I32" s="18" t="s">
        <v>3</v>
      </c>
      <c r="J32" s="24" t="s">
        <v>13</v>
      </c>
      <c r="K32" s="18" t="s">
        <v>3</v>
      </c>
      <c r="L32" s="18" t="s">
        <v>4</v>
      </c>
    </row>
    <row r="33" spans="1:12" ht="15.75" customHeight="1" x14ac:dyDescent="0.3">
      <c r="A33" s="27" t="s">
        <v>65</v>
      </c>
      <c r="B33" s="28" t="s">
        <v>66</v>
      </c>
      <c r="C33" s="29">
        <v>65000</v>
      </c>
      <c r="D33" s="30"/>
      <c r="E33" s="31" t="s">
        <v>63</v>
      </c>
      <c r="F33" s="31"/>
      <c r="G33" s="31" t="s">
        <v>4</v>
      </c>
      <c r="H33" s="31" t="s">
        <v>3</v>
      </c>
      <c r="I33" s="31" t="s">
        <v>3</v>
      </c>
      <c r="J33" s="31"/>
      <c r="K33" s="31" t="s">
        <v>3</v>
      </c>
      <c r="L33" s="31" t="s">
        <v>4</v>
      </c>
    </row>
    <row r="34" spans="1:12" ht="15.75" customHeight="1" x14ac:dyDescent="0.3">
      <c r="A34" s="14" t="s">
        <v>67</v>
      </c>
      <c r="B34" s="10" t="s">
        <v>68</v>
      </c>
      <c r="C34" s="12">
        <v>581981</v>
      </c>
      <c r="D34" s="12">
        <v>20</v>
      </c>
      <c r="E34" s="13" t="s">
        <v>69</v>
      </c>
      <c r="F34" s="13" t="s">
        <v>4</v>
      </c>
      <c r="G34" s="13" t="s">
        <v>3</v>
      </c>
      <c r="H34" s="13" t="s">
        <v>3</v>
      </c>
      <c r="I34" s="13" t="s">
        <v>3</v>
      </c>
      <c r="J34" s="13"/>
      <c r="K34" s="13"/>
      <c r="L34" s="13" t="s">
        <v>4</v>
      </c>
    </row>
    <row r="35" spans="1:12" ht="15.75" customHeight="1" x14ac:dyDescent="0.3">
      <c r="A35" s="18" t="s">
        <v>70</v>
      </c>
      <c r="B35" s="7"/>
      <c r="C35" s="18"/>
      <c r="D35" s="18">
        <v>12</v>
      </c>
      <c r="E35" s="18" t="s">
        <v>63</v>
      </c>
      <c r="F35" s="18" t="s">
        <v>4</v>
      </c>
      <c r="G35" s="18" t="s">
        <v>3</v>
      </c>
      <c r="I35" s="24"/>
      <c r="J35" s="24"/>
      <c r="K35" s="24"/>
      <c r="L35" s="18" t="s">
        <v>4</v>
      </c>
    </row>
    <row r="36" spans="1:12" ht="15.75" customHeight="1" x14ac:dyDescent="0.3">
      <c r="A36" s="16" t="s">
        <v>266</v>
      </c>
      <c r="B36" s="25" t="s">
        <v>71</v>
      </c>
      <c r="C36" s="15">
        <v>80000</v>
      </c>
      <c r="D36" s="13">
        <v>242</v>
      </c>
      <c r="E36" s="13"/>
      <c r="F36" s="13" t="s">
        <v>4</v>
      </c>
      <c r="G36" s="13"/>
      <c r="H36" s="13"/>
      <c r="I36" s="13" t="s">
        <v>3</v>
      </c>
      <c r="J36" s="13"/>
      <c r="K36" s="13"/>
      <c r="L36" s="13"/>
    </row>
    <row r="37" spans="1:12" ht="15.75" customHeight="1" x14ac:dyDescent="0.3">
      <c r="A37" s="16" t="s">
        <v>72</v>
      </c>
      <c r="B37" s="10" t="s">
        <v>73</v>
      </c>
      <c r="C37" s="15">
        <v>150000</v>
      </c>
      <c r="D37" s="13"/>
      <c r="E37" s="13" t="s">
        <v>23</v>
      </c>
      <c r="F37" s="13" t="s">
        <v>3</v>
      </c>
      <c r="G37" s="13"/>
      <c r="H37" s="13"/>
      <c r="I37" s="13" t="s">
        <v>3</v>
      </c>
      <c r="J37" s="13" t="s">
        <v>3</v>
      </c>
      <c r="K37" s="13"/>
      <c r="L37" s="13" t="s">
        <v>74</v>
      </c>
    </row>
    <row r="38" spans="1:12" ht="15.75" customHeight="1" x14ac:dyDescent="0.3">
      <c r="A38" s="21" t="s">
        <v>75</v>
      </c>
      <c r="B38" s="10" t="s">
        <v>76</v>
      </c>
      <c r="C38" s="15">
        <v>170000</v>
      </c>
      <c r="D38" s="13"/>
      <c r="E38" s="13" t="s">
        <v>30</v>
      </c>
      <c r="F38" s="13" t="s">
        <v>4</v>
      </c>
      <c r="G38" s="13" t="s">
        <v>3</v>
      </c>
      <c r="H38" s="13" t="s">
        <v>3</v>
      </c>
      <c r="I38" s="32" t="s">
        <v>3</v>
      </c>
      <c r="J38" s="13"/>
      <c r="K38" s="13" t="s">
        <v>3</v>
      </c>
      <c r="L38" s="13" t="s">
        <v>4</v>
      </c>
    </row>
    <row r="39" spans="1:12" ht="15.75" customHeight="1" x14ac:dyDescent="0.3">
      <c r="A39" s="14" t="s">
        <v>77</v>
      </c>
      <c r="B39" s="10" t="s">
        <v>78</v>
      </c>
      <c r="C39" s="15">
        <v>525000</v>
      </c>
      <c r="D39" s="13"/>
      <c r="E39" s="13" t="s">
        <v>30</v>
      </c>
      <c r="F39" s="13" t="s">
        <v>4</v>
      </c>
      <c r="G39" s="13" t="s">
        <v>3</v>
      </c>
      <c r="H39" s="13" t="s">
        <v>3</v>
      </c>
      <c r="I39" s="32" t="s">
        <v>3</v>
      </c>
      <c r="J39" s="13"/>
      <c r="K39" s="13" t="s">
        <v>3</v>
      </c>
      <c r="L39" s="13" t="s">
        <v>4</v>
      </c>
    </row>
    <row r="40" spans="1:12" ht="15.75" customHeight="1" x14ac:dyDescent="0.3">
      <c r="A40" s="16" t="s">
        <v>79</v>
      </c>
      <c r="B40" s="10" t="s">
        <v>78</v>
      </c>
      <c r="C40" s="15">
        <v>365000</v>
      </c>
      <c r="D40" s="13"/>
      <c r="E40" s="13" t="s">
        <v>30</v>
      </c>
      <c r="F40" s="13" t="s">
        <v>4</v>
      </c>
      <c r="G40" s="13" t="s">
        <v>3</v>
      </c>
      <c r="H40" s="13" t="s">
        <v>3</v>
      </c>
      <c r="I40" s="32" t="s">
        <v>3</v>
      </c>
      <c r="J40" s="13"/>
      <c r="K40" s="13" t="s">
        <v>3</v>
      </c>
      <c r="L40" s="13" t="s">
        <v>4</v>
      </c>
    </row>
    <row r="41" spans="1:12" ht="15.75" customHeight="1" x14ac:dyDescent="0.3">
      <c r="A41" s="16" t="s">
        <v>265</v>
      </c>
      <c r="B41" s="10" t="s">
        <v>80</v>
      </c>
      <c r="C41" s="33">
        <v>16400</v>
      </c>
      <c r="D41" s="13"/>
      <c r="E41" s="13"/>
      <c r="F41" s="13"/>
      <c r="G41" s="13"/>
      <c r="H41" s="13"/>
      <c r="I41" s="13" t="s">
        <v>3</v>
      </c>
      <c r="J41" s="13"/>
      <c r="K41" s="13"/>
      <c r="L41" s="13" t="s">
        <v>4</v>
      </c>
    </row>
    <row r="42" spans="1:12" ht="15.75" customHeight="1" x14ac:dyDescent="0.3">
      <c r="A42" s="16" t="s">
        <v>81</v>
      </c>
      <c r="B42" s="10" t="s">
        <v>82</v>
      </c>
      <c r="C42" s="15"/>
      <c r="D42" s="13"/>
      <c r="E42" s="13"/>
      <c r="F42" s="13"/>
      <c r="G42" s="13"/>
      <c r="H42" s="13"/>
      <c r="I42" s="13" t="s">
        <v>3</v>
      </c>
      <c r="J42" s="13"/>
      <c r="K42" s="13"/>
      <c r="L42" s="13" t="s">
        <v>4</v>
      </c>
    </row>
    <row r="43" spans="1:12" ht="15.75" customHeight="1" x14ac:dyDescent="0.3">
      <c r="A43" s="16" t="s">
        <v>264</v>
      </c>
      <c r="B43" s="10" t="s">
        <v>254</v>
      </c>
      <c r="C43" s="33">
        <v>52600</v>
      </c>
      <c r="D43" s="13"/>
      <c r="E43" s="13" t="s">
        <v>23</v>
      </c>
      <c r="F43" s="13" t="s">
        <v>4</v>
      </c>
      <c r="G43" s="13"/>
      <c r="H43" s="13"/>
      <c r="I43" s="13" t="s">
        <v>3</v>
      </c>
      <c r="J43" s="13"/>
      <c r="K43" s="13"/>
      <c r="L43" s="13" t="s">
        <v>4</v>
      </c>
    </row>
    <row r="44" spans="1:12" ht="15.75" customHeight="1" x14ac:dyDescent="0.3">
      <c r="A44" s="16" t="s">
        <v>263</v>
      </c>
      <c r="B44" s="10" t="s">
        <v>83</v>
      </c>
      <c r="C44" s="33">
        <v>137470</v>
      </c>
      <c r="D44" s="13"/>
      <c r="E44" s="13"/>
      <c r="F44" s="13"/>
      <c r="G44" s="13"/>
      <c r="H44" s="13"/>
      <c r="I44" s="13" t="s">
        <v>3</v>
      </c>
      <c r="J44" s="13"/>
      <c r="K44" s="13"/>
      <c r="L44" s="13" t="s">
        <v>4</v>
      </c>
    </row>
    <row r="45" spans="1:12" ht="15.75" customHeight="1" x14ac:dyDescent="0.3">
      <c r="A45" s="16" t="s">
        <v>262</v>
      </c>
      <c r="B45" s="10" t="s">
        <v>84</v>
      </c>
      <c r="C45" s="33"/>
      <c r="D45" s="13"/>
      <c r="E45" s="13"/>
      <c r="F45" s="13" t="s">
        <v>3</v>
      </c>
      <c r="G45" s="13"/>
      <c r="H45" s="13"/>
      <c r="I45" s="13"/>
      <c r="J45" s="13"/>
      <c r="K45" s="13"/>
      <c r="L45" s="13" t="s">
        <v>4</v>
      </c>
    </row>
    <row r="46" spans="1:12" ht="15.75" customHeight="1" x14ac:dyDescent="0.3">
      <c r="A46" s="16"/>
      <c r="B46" s="10" t="s">
        <v>85</v>
      </c>
      <c r="C46" s="33"/>
      <c r="D46" s="13"/>
      <c r="E46" s="13"/>
      <c r="F46" s="13"/>
      <c r="G46" s="13"/>
      <c r="H46" s="13"/>
      <c r="I46" s="13"/>
      <c r="J46" s="13"/>
      <c r="K46" s="13"/>
      <c r="L46" s="13" t="s">
        <v>4</v>
      </c>
    </row>
    <row r="47" spans="1:12" ht="15.75" customHeight="1" x14ac:dyDescent="0.3">
      <c r="A47" s="16"/>
      <c r="B47" s="10"/>
      <c r="C47" s="33"/>
      <c r="D47" s="13"/>
      <c r="E47" s="13"/>
      <c r="F47" s="13"/>
      <c r="G47" s="13"/>
      <c r="H47" s="13"/>
      <c r="I47" s="13"/>
      <c r="J47" s="13"/>
      <c r="K47" s="13"/>
      <c r="L47" s="13" t="s">
        <v>4</v>
      </c>
    </row>
    <row r="48" spans="1:12" ht="15.75" customHeight="1" x14ac:dyDescent="0.3">
      <c r="A48" s="21" t="s">
        <v>86</v>
      </c>
      <c r="B48" s="10" t="s">
        <v>87</v>
      </c>
      <c r="C48" s="33">
        <v>250000</v>
      </c>
      <c r="D48" s="13">
        <v>25</v>
      </c>
      <c r="E48" s="13" t="s">
        <v>88</v>
      </c>
      <c r="F48" s="13" t="s">
        <v>3</v>
      </c>
      <c r="G48" s="13"/>
      <c r="H48" s="13" t="s">
        <v>3</v>
      </c>
      <c r="I48" s="13" t="s">
        <v>3</v>
      </c>
      <c r="J48" s="13"/>
      <c r="K48" s="13" t="s">
        <v>89</v>
      </c>
      <c r="L48" s="13" t="s">
        <v>4</v>
      </c>
    </row>
    <row r="49" spans="1:12" ht="15.75" customHeight="1" x14ac:dyDescent="0.3">
      <c r="A49" s="24" t="s">
        <v>90</v>
      </c>
      <c r="B49" s="23" t="s">
        <v>1</v>
      </c>
      <c r="C49" s="18"/>
      <c r="D49" s="24">
        <v>3</v>
      </c>
      <c r="E49" s="18" t="s">
        <v>30</v>
      </c>
      <c r="F49" s="18" t="s">
        <v>3</v>
      </c>
      <c r="G49" s="18"/>
      <c r="H49" s="24" t="s">
        <v>3</v>
      </c>
      <c r="I49" s="18" t="s">
        <v>4</v>
      </c>
      <c r="J49" s="24"/>
      <c r="K49" s="24" t="s">
        <v>4</v>
      </c>
      <c r="L49" s="18" t="s">
        <v>6</v>
      </c>
    </row>
    <row r="50" spans="1:12" ht="15.75" customHeight="1" x14ac:dyDescent="0.3">
      <c r="A50" s="21" t="s">
        <v>255</v>
      </c>
      <c r="B50" s="34" t="s">
        <v>1</v>
      </c>
      <c r="C50" s="13">
        <v>3059380</v>
      </c>
      <c r="D50" s="13">
        <v>50</v>
      </c>
      <c r="E50" s="13" t="s">
        <v>91</v>
      </c>
      <c r="F50" s="13" t="s">
        <v>3</v>
      </c>
      <c r="G50" s="13" t="s">
        <v>4</v>
      </c>
      <c r="H50" s="13"/>
      <c r="I50" s="13" t="s">
        <v>4</v>
      </c>
      <c r="J50" s="13" t="s">
        <v>3</v>
      </c>
      <c r="K50" s="13" t="s">
        <v>3</v>
      </c>
      <c r="L50" s="13" t="s">
        <v>6</v>
      </c>
    </row>
    <row r="51" spans="1:12" ht="15.75" customHeight="1" x14ac:dyDescent="0.3">
      <c r="A51" s="16" t="s">
        <v>92</v>
      </c>
      <c r="B51" s="34" t="s">
        <v>1</v>
      </c>
      <c r="C51" s="13">
        <v>320086</v>
      </c>
      <c r="D51" s="13">
        <v>37</v>
      </c>
      <c r="E51" s="13" t="s">
        <v>93</v>
      </c>
      <c r="F51" s="13" t="s">
        <v>95</v>
      </c>
      <c r="G51" s="13" t="s">
        <v>4</v>
      </c>
      <c r="H51" s="13"/>
      <c r="I51" s="13" t="s">
        <v>4</v>
      </c>
      <c r="J51" s="13"/>
      <c r="K51" s="13" t="s">
        <v>3</v>
      </c>
      <c r="L51" s="13" t="s">
        <v>6</v>
      </c>
    </row>
    <row r="52" spans="1:12" ht="15.75" customHeight="1" x14ac:dyDescent="0.3">
      <c r="A52" s="16" t="s">
        <v>94</v>
      </c>
      <c r="B52" s="10" t="s">
        <v>1</v>
      </c>
      <c r="C52" s="12">
        <v>458883</v>
      </c>
      <c r="D52" s="13">
        <v>12</v>
      </c>
      <c r="E52" s="13" t="s">
        <v>93</v>
      </c>
      <c r="F52" s="13" t="s">
        <v>95</v>
      </c>
      <c r="G52" s="13" t="s">
        <v>4</v>
      </c>
      <c r="H52" s="13"/>
      <c r="I52" s="13" t="s">
        <v>4</v>
      </c>
      <c r="J52" s="13"/>
      <c r="K52" s="13" t="s">
        <v>3</v>
      </c>
      <c r="L52" s="13" t="s">
        <v>6</v>
      </c>
    </row>
    <row r="53" spans="1:12" ht="15.75" customHeight="1" x14ac:dyDescent="0.3">
      <c r="A53" s="14" t="s">
        <v>96</v>
      </c>
      <c r="B53" s="10" t="s">
        <v>1</v>
      </c>
      <c r="C53" s="12">
        <v>2107955</v>
      </c>
      <c r="D53" s="12">
        <v>45</v>
      </c>
      <c r="E53" s="13" t="s">
        <v>93</v>
      </c>
      <c r="F53" s="35" t="s">
        <v>95</v>
      </c>
      <c r="G53" s="13" t="s">
        <v>4</v>
      </c>
      <c r="H53" s="13"/>
      <c r="I53" s="13" t="s">
        <v>4</v>
      </c>
      <c r="J53" s="13" t="s">
        <v>3</v>
      </c>
      <c r="K53" s="13" t="s">
        <v>3</v>
      </c>
      <c r="L53" s="13" t="s">
        <v>6</v>
      </c>
    </row>
    <row r="54" spans="1:12" ht="15.75" customHeight="1" x14ac:dyDescent="0.3">
      <c r="A54" s="14" t="s">
        <v>97</v>
      </c>
      <c r="B54" s="36" t="s">
        <v>98</v>
      </c>
      <c r="C54" s="12">
        <v>1802572</v>
      </c>
      <c r="D54" s="12">
        <v>150</v>
      </c>
      <c r="E54" s="13" t="s">
        <v>99</v>
      </c>
      <c r="F54" s="13" t="s">
        <v>95</v>
      </c>
      <c r="G54" s="13"/>
      <c r="H54" s="13"/>
      <c r="I54" s="13"/>
      <c r="J54" s="13"/>
      <c r="K54" s="13" t="s">
        <v>4</v>
      </c>
      <c r="L54" s="13" t="s">
        <v>4</v>
      </c>
    </row>
    <row r="55" spans="1:12" ht="15.75" customHeight="1" x14ac:dyDescent="0.3">
      <c r="A55" s="16" t="s">
        <v>100</v>
      </c>
      <c r="B55" s="10" t="s">
        <v>101</v>
      </c>
      <c r="C55" s="12">
        <v>642252</v>
      </c>
      <c r="D55" s="12">
        <v>18</v>
      </c>
      <c r="E55" s="13" t="s">
        <v>23</v>
      </c>
      <c r="F55" s="13" t="s">
        <v>95</v>
      </c>
      <c r="G55" s="13"/>
      <c r="H55" s="13"/>
      <c r="I55" s="13"/>
      <c r="J55" s="13"/>
      <c r="K55" s="13" t="s">
        <v>4</v>
      </c>
      <c r="L55" s="13" t="s">
        <v>4</v>
      </c>
    </row>
    <row r="56" spans="1:12" ht="15.75" customHeight="1" x14ac:dyDescent="0.35">
      <c r="A56" s="37" t="s">
        <v>102</v>
      </c>
      <c r="B56" s="25" t="s">
        <v>103</v>
      </c>
      <c r="C56" s="12">
        <v>685383</v>
      </c>
      <c r="D56" s="12">
        <v>36</v>
      </c>
      <c r="E56" s="13" t="s">
        <v>104</v>
      </c>
      <c r="F56" s="19" t="s">
        <v>95</v>
      </c>
      <c r="G56" s="13"/>
      <c r="H56" s="13"/>
      <c r="I56" s="13"/>
      <c r="J56" s="13"/>
      <c r="K56" s="13" t="s">
        <v>4</v>
      </c>
      <c r="L56" s="13" t="s">
        <v>4</v>
      </c>
    </row>
    <row r="57" spans="1:12" ht="15.75" customHeight="1" x14ac:dyDescent="0.35">
      <c r="A57" s="37" t="s">
        <v>105</v>
      </c>
      <c r="B57" s="25" t="s">
        <v>106</v>
      </c>
      <c r="C57" s="15">
        <v>315581</v>
      </c>
      <c r="D57" s="12">
        <v>10</v>
      </c>
      <c r="E57" s="13"/>
      <c r="F57" s="19" t="s">
        <v>95</v>
      </c>
      <c r="G57" s="13"/>
      <c r="H57" s="13"/>
      <c r="I57" s="13"/>
      <c r="J57" s="13"/>
      <c r="K57" s="13" t="s">
        <v>4</v>
      </c>
      <c r="L57" s="13" t="s">
        <v>4</v>
      </c>
    </row>
    <row r="58" spans="1:12" ht="15.75" customHeight="1" x14ac:dyDescent="0.3">
      <c r="A58" s="16" t="s">
        <v>107</v>
      </c>
      <c r="B58" s="10" t="s">
        <v>108</v>
      </c>
      <c r="C58" s="15">
        <v>117086</v>
      </c>
      <c r="D58" s="12">
        <v>8</v>
      </c>
      <c r="E58" s="13" t="s">
        <v>23</v>
      </c>
      <c r="F58" s="38"/>
      <c r="G58" s="13"/>
      <c r="H58" s="13"/>
      <c r="I58" s="13" t="s">
        <v>4</v>
      </c>
      <c r="J58" s="13"/>
      <c r="K58" s="13"/>
      <c r="L58" s="13" t="s">
        <v>4</v>
      </c>
    </row>
    <row r="59" spans="1:12" ht="15.75" customHeight="1" x14ac:dyDescent="0.3">
      <c r="A59" s="14" t="s">
        <v>109</v>
      </c>
      <c r="B59" s="10" t="s">
        <v>110</v>
      </c>
      <c r="C59" s="15"/>
      <c r="D59" s="12"/>
      <c r="E59" s="13" t="s">
        <v>23</v>
      </c>
      <c r="F59" s="13" t="s">
        <v>95</v>
      </c>
      <c r="G59" s="13"/>
      <c r="H59" s="13"/>
      <c r="I59" s="13" t="s">
        <v>4</v>
      </c>
      <c r="J59" s="13"/>
      <c r="K59" s="13" t="s">
        <v>3</v>
      </c>
      <c r="L59" s="13" t="s">
        <v>4</v>
      </c>
    </row>
    <row r="60" spans="1:12" ht="15.75" customHeight="1" x14ac:dyDescent="0.3">
      <c r="A60" s="14" t="s">
        <v>111</v>
      </c>
      <c r="B60" s="10" t="s">
        <v>112</v>
      </c>
      <c r="C60" s="15"/>
      <c r="D60" s="12">
        <v>3</v>
      </c>
      <c r="E60" s="13" t="s">
        <v>23</v>
      </c>
      <c r="F60" s="13" t="s">
        <v>3</v>
      </c>
      <c r="G60" s="13"/>
      <c r="H60" s="13"/>
      <c r="I60" s="13"/>
      <c r="J60" s="13"/>
      <c r="K60" s="13" t="s">
        <v>3</v>
      </c>
      <c r="L60" s="13" t="s">
        <v>4</v>
      </c>
    </row>
    <row r="61" spans="1:12" ht="15.75" customHeight="1" x14ac:dyDescent="0.3">
      <c r="A61" s="16" t="s">
        <v>113</v>
      </c>
      <c r="B61" s="25" t="s">
        <v>114</v>
      </c>
      <c r="C61" s="15"/>
      <c r="D61" s="12"/>
      <c r="E61" s="13" t="s">
        <v>23</v>
      </c>
      <c r="F61" s="13" t="s">
        <v>95</v>
      </c>
      <c r="G61" s="13"/>
      <c r="H61" s="13"/>
      <c r="I61" s="13" t="s">
        <v>4</v>
      </c>
      <c r="J61" s="13"/>
      <c r="K61" s="13"/>
      <c r="L61" s="13" t="s">
        <v>4</v>
      </c>
    </row>
    <row r="62" spans="1:12" ht="15.75" customHeight="1" x14ac:dyDescent="0.3">
      <c r="A62" s="16" t="s">
        <v>115</v>
      </c>
      <c r="B62" s="10" t="s">
        <v>1</v>
      </c>
      <c r="C62" s="15"/>
      <c r="D62" s="12">
        <v>15</v>
      </c>
      <c r="E62" s="13" t="s">
        <v>116</v>
      </c>
      <c r="F62" s="13" t="s">
        <v>3</v>
      </c>
      <c r="G62" s="13"/>
      <c r="H62" s="13"/>
      <c r="I62" s="13" t="s">
        <v>4</v>
      </c>
      <c r="J62" s="13"/>
      <c r="K62" s="13"/>
      <c r="L62" s="13" t="s">
        <v>4</v>
      </c>
    </row>
    <row r="63" spans="1:12" ht="15.75" customHeight="1" x14ac:dyDescent="0.3">
      <c r="A63" s="16" t="s">
        <v>117</v>
      </c>
      <c r="B63" s="25" t="s">
        <v>118</v>
      </c>
      <c r="C63" s="15">
        <v>103445</v>
      </c>
      <c r="D63" s="12">
        <v>8</v>
      </c>
      <c r="E63" s="13" t="s">
        <v>119</v>
      </c>
      <c r="F63" s="13" t="s">
        <v>3</v>
      </c>
      <c r="G63" s="13"/>
      <c r="H63" s="13"/>
      <c r="I63" s="13"/>
      <c r="J63" s="13"/>
      <c r="K63" s="13"/>
      <c r="L63" s="13" t="s">
        <v>4</v>
      </c>
    </row>
    <row r="64" spans="1:12" ht="15.75" customHeight="1" x14ac:dyDescent="0.3">
      <c r="A64" s="16" t="s">
        <v>120</v>
      </c>
      <c r="B64" s="25"/>
      <c r="C64" s="15"/>
      <c r="D64" s="12">
        <v>30</v>
      </c>
      <c r="E64" s="13" t="s">
        <v>104</v>
      </c>
      <c r="F64" s="13" t="s">
        <v>4</v>
      </c>
      <c r="G64" s="13" t="s">
        <v>4</v>
      </c>
      <c r="H64" s="13" t="s">
        <v>3</v>
      </c>
      <c r="I64" s="13"/>
      <c r="J64" s="13"/>
      <c r="K64" s="13"/>
      <c r="L64" s="13" t="s">
        <v>4</v>
      </c>
    </row>
    <row r="65" spans="1:12" ht="15.75" customHeight="1" x14ac:dyDescent="0.3">
      <c r="A65" s="16" t="s">
        <v>269</v>
      </c>
      <c r="B65" s="39" t="s">
        <v>121</v>
      </c>
      <c r="C65" s="12">
        <v>340204</v>
      </c>
      <c r="D65" s="12">
        <v>14</v>
      </c>
      <c r="E65" s="13" t="s">
        <v>122</v>
      </c>
      <c r="F65" s="13" t="s">
        <v>4</v>
      </c>
      <c r="G65" s="13" t="s">
        <v>4</v>
      </c>
      <c r="H65" s="13"/>
      <c r="I65" s="13"/>
      <c r="J65" s="13"/>
      <c r="K65" s="13"/>
      <c r="L65" s="13"/>
    </row>
    <row r="66" spans="1:12" ht="15.75" customHeight="1" x14ac:dyDescent="0.3">
      <c r="A66" s="16" t="s">
        <v>269</v>
      </c>
      <c r="B66" s="39" t="s">
        <v>121</v>
      </c>
      <c r="C66" s="12">
        <v>174705</v>
      </c>
      <c r="D66" s="12">
        <v>12</v>
      </c>
      <c r="E66" s="13" t="s">
        <v>122</v>
      </c>
      <c r="F66" s="35" t="s">
        <v>4</v>
      </c>
      <c r="G66" s="13" t="s">
        <v>4</v>
      </c>
      <c r="H66" s="13"/>
      <c r="I66" s="13"/>
      <c r="J66" s="13"/>
      <c r="K66" s="13"/>
      <c r="L66" s="13"/>
    </row>
    <row r="67" spans="1:12" ht="15.75" customHeight="1" x14ac:dyDescent="0.3">
      <c r="A67" s="16" t="s">
        <v>269</v>
      </c>
      <c r="B67" s="39" t="s">
        <v>123</v>
      </c>
      <c r="C67" s="31">
        <v>2500000</v>
      </c>
      <c r="D67" s="12">
        <v>106</v>
      </c>
      <c r="E67" s="13" t="s">
        <v>122</v>
      </c>
      <c r="F67" s="13" t="s">
        <v>4</v>
      </c>
      <c r="G67" s="13" t="s">
        <v>4</v>
      </c>
      <c r="H67" s="13"/>
      <c r="I67" s="13" t="s">
        <v>3</v>
      </c>
      <c r="J67" s="13"/>
      <c r="K67" s="13"/>
      <c r="L67" s="13"/>
    </row>
    <row r="68" spans="1:12" ht="15.75" customHeight="1" x14ac:dyDescent="0.3">
      <c r="A68" s="16" t="s">
        <v>269</v>
      </c>
      <c r="B68" s="39" t="s">
        <v>124</v>
      </c>
      <c r="C68" s="30">
        <v>1000000</v>
      </c>
      <c r="D68" s="12"/>
      <c r="E68" s="13" t="s">
        <v>122</v>
      </c>
      <c r="F68" s="13" t="s">
        <v>4</v>
      </c>
      <c r="G68" s="13" t="s">
        <v>4</v>
      </c>
      <c r="H68" s="13"/>
      <c r="I68" s="13" t="s">
        <v>3</v>
      </c>
      <c r="J68" s="13"/>
      <c r="K68" s="13"/>
      <c r="L68" s="13"/>
    </row>
    <row r="69" spans="1:12" ht="15.75" customHeight="1" x14ac:dyDescent="0.3">
      <c r="A69" s="16" t="s">
        <v>269</v>
      </c>
      <c r="B69" s="39" t="s">
        <v>125</v>
      </c>
      <c r="C69" s="29">
        <v>139929</v>
      </c>
      <c r="D69" s="12">
        <v>27</v>
      </c>
      <c r="E69" s="13" t="s">
        <v>122</v>
      </c>
      <c r="F69" s="13" t="s">
        <v>4</v>
      </c>
      <c r="G69" s="13" t="s">
        <v>4</v>
      </c>
      <c r="H69" s="13"/>
      <c r="I69" s="13" t="s">
        <v>3</v>
      </c>
      <c r="J69" s="13"/>
      <c r="K69" s="13"/>
      <c r="L69" s="13"/>
    </row>
    <row r="70" spans="1:12" ht="15.75" customHeight="1" x14ac:dyDescent="0.3">
      <c r="A70" s="40" t="s">
        <v>126</v>
      </c>
      <c r="B70" s="39" t="s">
        <v>127</v>
      </c>
      <c r="C70" s="30">
        <v>250000</v>
      </c>
      <c r="D70" s="12"/>
      <c r="E70" s="13" t="s">
        <v>122</v>
      </c>
      <c r="F70" s="13" t="s">
        <v>4</v>
      </c>
      <c r="G70" s="13" t="s">
        <v>4</v>
      </c>
      <c r="H70" s="13"/>
      <c r="I70" s="13" t="s">
        <v>3</v>
      </c>
      <c r="J70" s="13"/>
      <c r="K70" s="13"/>
      <c r="L70" s="13"/>
    </row>
    <row r="71" spans="1:12" ht="15.75" customHeight="1" x14ac:dyDescent="0.3">
      <c r="A71" s="16" t="s">
        <v>128</v>
      </c>
      <c r="B71" s="39" t="s">
        <v>129</v>
      </c>
      <c r="C71" s="12">
        <v>2821906</v>
      </c>
      <c r="D71" s="12">
        <v>50</v>
      </c>
      <c r="E71" s="13" t="s">
        <v>130</v>
      </c>
      <c r="F71" s="19" t="s">
        <v>4</v>
      </c>
      <c r="G71" s="13"/>
      <c r="H71" s="13"/>
      <c r="I71" s="13"/>
      <c r="J71" s="13"/>
      <c r="K71" s="13"/>
      <c r="L71" s="13"/>
    </row>
    <row r="72" spans="1:12" ht="15.75" customHeight="1" x14ac:dyDescent="0.3">
      <c r="A72" s="16" t="s">
        <v>268</v>
      </c>
      <c r="B72" s="39" t="s">
        <v>131</v>
      </c>
      <c r="C72" s="12"/>
      <c r="D72" s="12">
        <v>35</v>
      </c>
      <c r="E72" s="13" t="s">
        <v>132</v>
      </c>
      <c r="F72" s="13" t="s">
        <v>4</v>
      </c>
      <c r="G72" s="13" t="s">
        <v>3</v>
      </c>
      <c r="H72" s="13"/>
      <c r="I72" s="13"/>
      <c r="J72" s="13"/>
      <c r="K72" s="13"/>
      <c r="L72" s="13"/>
    </row>
    <row r="73" spans="1:12" ht="15.75" customHeight="1" x14ac:dyDescent="0.3">
      <c r="A73" s="14" t="s">
        <v>133</v>
      </c>
      <c r="B73" s="41" t="s">
        <v>134</v>
      </c>
      <c r="C73" s="12">
        <v>571838</v>
      </c>
      <c r="D73" s="12">
        <v>14</v>
      </c>
      <c r="E73" s="13" t="s">
        <v>135</v>
      </c>
      <c r="F73" s="13" t="s">
        <v>4</v>
      </c>
      <c r="G73" s="13" t="s">
        <v>3</v>
      </c>
      <c r="H73" s="13"/>
      <c r="I73" s="13" t="s">
        <v>3</v>
      </c>
      <c r="J73" s="13"/>
      <c r="K73" s="13"/>
      <c r="L73" s="13"/>
    </row>
    <row r="74" spans="1:12" ht="15.75" customHeight="1" x14ac:dyDescent="0.3">
      <c r="A74" s="16" t="s">
        <v>136</v>
      </c>
      <c r="B74" s="34" t="s">
        <v>137</v>
      </c>
      <c r="C74" s="12">
        <v>4285981</v>
      </c>
      <c r="D74" s="12">
        <v>85</v>
      </c>
      <c r="E74" s="13" t="s">
        <v>23</v>
      </c>
      <c r="F74" s="13" t="s">
        <v>4</v>
      </c>
      <c r="G74" s="13" t="s">
        <v>3</v>
      </c>
      <c r="H74" s="13"/>
      <c r="I74" s="13" t="s">
        <v>3</v>
      </c>
      <c r="J74" s="13"/>
      <c r="K74" s="13"/>
      <c r="L74" s="13" t="s">
        <v>4</v>
      </c>
    </row>
    <row r="75" spans="1:12" ht="15.75" customHeight="1" x14ac:dyDescent="0.3">
      <c r="A75" s="16" t="s">
        <v>138</v>
      </c>
      <c r="B75" s="24" t="s">
        <v>139</v>
      </c>
      <c r="C75" s="12">
        <v>705672</v>
      </c>
      <c r="D75" s="12">
        <v>18</v>
      </c>
      <c r="E75" s="13" t="s">
        <v>119</v>
      </c>
      <c r="F75" s="13" t="s">
        <v>4</v>
      </c>
      <c r="G75" s="13"/>
      <c r="H75" s="13"/>
      <c r="I75" s="13"/>
      <c r="J75" s="13"/>
      <c r="K75" s="13"/>
      <c r="L75" s="13" t="s">
        <v>4</v>
      </c>
    </row>
    <row r="76" spans="1:12" ht="15.75" customHeight="1" x14ac:dyDescent="0.3">
      <c r="A76" s="16" t="s">
        <v>140</v>
      </c>
      <c r="B76" s="39" t="s">
        <v>141</v>
      </c>
      <c r="C76" s="12">
        <v>121807</v>
      </c>
      <c r="D76" s="12">
        <v>5</v>
      </c>
      <c r="E76" s="13" t="s">
        <v>142</v>
      </c>
      <c r="F76" s="13" t="s">
        <v>4</v>
      </c>
      <c r="G76" s="13"/>
      <c r="H76" s="13" t="s">
        <v>4</v>
      </c>
      <c r="I76" s="13"/>
      <c r="J76" s="13"/>
      <c r="K76" s="13"/>
      <c r="L76" s="13" t="s">
        <v>4</v>
      </c>
    </row>
    <row r="77" spans="1:12" ht="15.75" customHeight="1" x14ac:dyDescent="0.3">
      <c r="A77" s="16" t="s">
        <v>143</v>
      </c>
      <c r="B77" s="39" t="s">
        <v>144</v>
      </c>
      <c r="C77" s="12">
        <v>621133</v>
      </c>
      <c r="D77" s="12">
        <v>22</v>
      </c>
      <c r="E77" s="13" t="s">
        <v>145</v>
      </c>
      <c r="F77" s="13" t="s">
        <v>146</v>
      </c>
      <c r="G77" s="13"/>
      <c r="H77" s="13" t="s">
        <v>4</v>
      </c>
      <c r="I77" s="13"/>
      <c r="J77" s="13"/>
      <c r="K77" s="13" t="s">
        <v>4</v>
      </c>
      <c r="L77" s="13" t="s">
        <v>147</v>
      </c>
    </row>
    <row r="78" spans="1:12" ht="15.75" customHeight="1" x14ac:dyDescent="0.3">
      <c r="A78" s="16" t="s">
        <v>148</v>
      </c>
      <c r="B78" s="34" t="s">
        <v>149</v>
      </c>
      <c r="C78" s="12">
        <v>267813</v>
      </c>
      <c r="D78" s="12">
        <v>20</v>
      </c>
      <c r="E78" s="38" t="s">
        <v>150</v>
      </c>
      <c r="F78" s="13" t="s">
        <v>3</v>
      </c>
      <c r="G78" s="13"/>
      <c r="H78" s="13" t="s">
        <v>4</v>
      </c>
      <c r="I78" s="13"/>
      <c r="J78" s="13"/>
      <c r="K78" s="13"/>
      <c r="L78" s="13" t="s">
        <v>4</v>
      </c>
    </row>
    <row r="79" spans="1:12" ht="15.75" customHeight="1" x14ac:dyDescent="0.3">
      <c r="A79" s="17" t="s">
        <v>151</v>
      </c>
      <c r="B79" s="34" t="s">
        <v>152</v>
      </c>
      <c r="C79" s="15">
        <v>896000</v>
      </c>
      <c r="D79" s="12">
        <v>15</v>
      </c>
      <c r="E79" s="13" t="s">
        <v>153</v>
      </c>
      <c r="F79" s="13" t="s">
        <v>3</v>
      </c>
      <c r="G79" s="13"/>
      <c r="H79" s="13"/>
      <c r="I79" s="13"/>
      <c r="J79" s="13"/>
      <c r="K79" s="42" t="s">
        <v>3</v>
      </c>
      <c r="L79" s="13" t="s">
        <v>4</v>
      </c>
    </row>
    <row r="80" spans="1:12" ht="15.75" customHeight="1" x14ac:dyDescent="0.3">
      <c r="A80" s="14" t="s">
        <v>154</v>
      </c>
      <c r="B80" s="34" t="s">
        <v>155</v>
      </c>
      <c r="C80" s="12">
        <v>60000</v>
      </c>
      <c r="D80" s="12"/>
      <c r="E80" s="13" t="s">
        <v>23</v>
      </c>
      <c r="F80" s="13" t="s">
        <v>3</v>
      </c>
      <c r="G80" s="13"/>
      <c r="H80" s="13"/>
      <c r="I80" s="13"/>
      <c r="J80" s="13"/>
      <c r="K80" s="13"/>
      <c r="L80" s="13" t="s">
        <v>4</v>
      </c>
    </row>
    <row r="81" spans="1:12" ht="15.75" customHeight="1" x14ac:dyDescent="0.3">
      <c r="A81" s="16" t="s">
        <v>156</v>
      </c>
      <c r="B81" s="34" t="s">
        <v>256</v>
      </c>
      <c r="C81" s="15">
        <v>998871</v>
      </c>
      <c r="D81" s="12">
        <v>20</v>
      </c>
      <c r="E81" s="13" t="s">
        <v>157</v>
      </c>
      <c r="F81" s="13" t="s">
        <v>158</v>
      </c>
      <c r="G81" s="13"/>
      <c r="H81" s="13" t="s">
        <v>3</v>
      </c>
      <c r="I81" s="13" t="s">
        <v>3</v>
      </c>
      <c r="J81" s="13" t="s">
        <v>3</v>
      </c>
      <c r="K81" s="13"/>
      <c r="L81" s="13" t="s">
        <v>4</v>
      </c>
    </row>
    <row r="82" spans="1:12" ht="15.75" customHeight="1" x14ac:dyDescent="0.3">
      <c r="A82" s="16" t="s">
        <v>257</v>
      </c>
      <c r="B82" s="39" t="s">
        <v>159</v>
      </c>
      <c r="C82" s="12">
        <v>993168</v>
      </c>
      <c r="D82" s="12">
        <v>27</v>
      </c>
      <c r="E82" s="13" t="s">
        <v>160</v>
      </c>
      <c r="F82" s="13" t="s">
        <v>95</v>
      </c>
      <c r="G82" s="13" t="s">
        <v>4</v>
      </c>
      <c r="H82" s="13"/>
      <c r="I82" s="13" t="s">
        <v>3</v>
      </c>
      <c r="J82" s="13"/>
      <c r="K82" s="13"/>
      <c r="L82" s="13" t="s">
        <v>4</v>
      </c>
    </row>
    <row r="83" spans="1:12" ht="15.75" customHeight="1" x14ac:dyDescent="0.3">
      <c r="A83" s="16" t="s">
        <v>161</v>
      </c>
      <c r="B83" s="34" t="s">
        <v>162</v>
      </c>
      <c r="C83" s="12">
        <v>615809</v>
      </c>
      <c r="D83" s="12">
        <v>19</v>
      </c>
      <c r="E83" s="13" t="s">
        <v>163</v>
      </c>
      <c r="F83" s="13" t="s">
        <v>95</v>
      </c>
      <c r="G83" s="13"/>
      <c r="H83" s="13" t="s">
        <v>3</v>
      </c>
      <c r="I83" s="13" t="s">
        <v>3</v>
      </c>
      <c r="J83" s="13"/>
      <c r="K83" s="13" t="s">
        <v>3</v>
      </c>
      <c r="L83" s="13" t="s">
        <v>4</v>
      </c>
    </row>
    <row r="84" spans="1:12" ht="15.75" customHeight="1" x14ac:dyDescent="0.3">
      <c r="A84" s="16" t="s">
        <v>258</v>
      </c>
      <c r="B84" s="34" t="s">
        <v>164</v>
      </c>
      <c r="C84" s="15">
        <v>112288</v>
      </c>
      <c r="D84" s="12">
        <v>12</v>
      </c>
      <c r="E84" s="13" t="s">
        <v>23</v>
      </c>
      <c r="F84" s="13" t="s">
        <v>4</v>
      </c>
      <c r="G84" s="13"/>
      <c r="H84" s="13"/>
      <c r="I84" s="13"/>
      <c r="J84" s="13"/>
      <c r="K84" s="13"/>
      <c r="L84" s="13" t="s">
        <v>4</v>
      </c>
    </row>
    <row r="85" spans="1:12" ht="15.75" customHeight="1" x14ac:dyDescent="0.3">
      <c r="A85" s="16" t="s">
        <v>165</v>
      </c>
      <c r="B85" s="39" t="s">
        <v>166</v>
      </c>
      <c r="C85" s="12"/>
      <c r="D85" s="12">
        <v>112</v>
      </c>
      <c r="E85" s="13" t="s">
        <v>130</v>
      </c>
      <c r="F85" s="13" t="s">
        <v>4</v>
      </c>
      <c r="G85" s="13"/>
      <c r="H85" s="13"/>
      <c r="I85" s="13"/>
      <c r="J85" s="13" t="s">
        <v>3</v>
      </c>
      <c r="K85" s="13"/>
      <c r="L85" s="13" t="s">
        <v>4</v>
      </c>
    </row>
    <row r="86" spans="1:12" ht="15.75" customHeight="1" x14ac:dyDescent="0.3">
      <c r="A86" s="16" t="s">
        <v>167</v>
      </c>
      <c r="B86" s="39" t="s">
        <v>168</v>
      </c>
      <c r="C86" s="12"/>
      <c r="D86" s="12">
        <v>0</v>
      </c>
      <c r="E86" s="13" t="s">
        <v>130</v>
      </c>
      <c r="F86" s="13" t="s">
        <v>4</v>
      </c>
      <c r="G86" s="13"/>
      <c r="H86" s="13"/>
      <c r="I86" s="13"/>
      <c r="J86" s="13" t="s">
        <v>3</v>
      </c>
      <c r="K86" s="13"/>
      <c r="L86" s="13" t="s">
        <v>4</v>
      </c>
    </row>
    <row r="87" spans="1:12" ht="15.75" customHeight="1" x14ac:dyDescent="0.3">
      <c r="A87" s="16" t="s">
        <v>169</v>
      </c>
      <c r="B87" s="39" t="s">
        <v>170</v>
      </c>
      <c r="C87" s="12"/>
      <c r="D87" s="12">
        <v>0</v>
      </c>
      <c r="E87" s="13" t="s">
        <v>130</v>
      </c>
      <c r="F87" s="13" t="s">
        <v>4</v>
      </c>
      <c r="G87" s="13"/>
      <c r="H87" s="13"/>
      <c r="I87" s="13"/>
      <c r="J87" s="13" t="s">
        <v>3</v>
      </c>
      <c r="K87" s="13"/>
      <c r="L87" s="13" t="s">
        <v>4</v>
      </c>
    </row>
    <row r="88" spans="1:12" ht="15.75" customHeight="1" x14ac:dyDescent="0.3">
      <c r="A88" s="16" t="s">
        <v>171</v>
      </c>
      <c r="B88" s="34" t="s">
        <v>172</v>
      </c>
      <c r="C88" s="43">
        <v>396396</v>
      </c>
      <c r="D88" s="12">
        <v>39</v>
      </c>
      <c r="E88" s="13" t="s">
        <v>130</v>
      </c>
      <c r="F88" s="13" t="s">
        <v>4</v>
      </c>
      <c r="G88" s="13"/>
      <c r="H88" s="13"/>
      <c r="I88" s="13" t="s">
        <v>3</v>
      </c>
      <c r="J88" s="13" t="s">
        <v>3</v>
      </c>
      <c r="K88" s="13"/>
      <c r="L88" s="13" t="s">
        <v>4</v>
      </c>
    </row>
    <row r="89" spans="1:12" ht="15.75" customHeight="1" x14ac:dyDescent="0.3">
      <c r="A89" s="16" t="s">
        <v>173</v>
      </c>
      <c r="B89" s="39" t="s">
        <v>174</v>
      </c>
      <c r="C89" s="12"/>
      <c r="D89" s="12"/>
      <c r="E89" s="13" t="s">
        <v>130</v>
      </c>
      <c r="F89" s="13" t="s">
        <v>4</v>
      </c>
      <c r="G89" s="13"/>
      <c r="H89" s="13"/>
      <c r="I89" s="13"/>
      <c r="J89" s="13"/>
      <c r="K89" s="13"/>
      <c r="L89" s="13"/>
    </row>
    <row r="90" spans="1:12" ht="15.75" customHeight="1" x14ac:dyDescent="0.3">
      <c r="A90" s="16" t="s">
        <v>175</v>
      </c>
      <c r="B90" s="34" t="s">
        <v>176</v>
      </c>
      <c r="C90" s="12">
        <v>550000</v>
      </c>
      <c r="D90" s="12">
        <v>7</v>
      </c>
      <c r="E90" s="13" t="s">
        <v>177</v>
      </c>
      <c r="F90" s="13" t="s">
        <v>4</v>
      </c>
      <c r="G90" s="13" t="s">
        <v>4</v>
      </c>
      <c r="H90" s="13" t="s">
        <v>3</v>
      </c>
      <c r="I90" s="13" t="s">
        <v>3</v>
      </c>
      <c r="J90" s="13"/>
      <c r="K90" s="13"/>
      <c r="L90" s="13" t="s">
        <v>4</v>
      </c>
    </row>
    <row r="91" spans="1:12" ht="15.75" customHeight="1" x14ac:dyDescent="0.3">
      <c r="A91" s="16" t="s">
        <v>178</v>
      </c>
      <c r="B91" s="39" t="s">
        <v>179</v>
      </c>
      <c r="C91" s="12">
        <v>23877</v>
      </c>
      <c r="D91" s="12">
        <v>2</v>
      </c>
      <c r="E91" s="13" t="s">
        <v>130</v>
      </c>
      <c r="F91" s="13" t="s">
        <v>4</v>
      </c>
      <c r="G91" s="13"/>
      <c r="H91" s="13"/>
      <c r="I91" s="13"/>
      <c r="J91" s="13"/>
      <c r="K91" s="13"/>
      <c r="L91" s="13" t="s">
        <v>4</v>
      </c>
    </row>
    <row r="92" spans="1:12" ht="15.75" customHeight="1" x14ac:dyDescent="0.3">
      <c r="A92" s="16" t="s">
        <v>180</v>
      </c>
      <c r="B92" s="39" t="s">
        <v>181</v>
      </c>
      <c r="C92" s="12"/>
      <c r="D92" s="12" t="e">
        <f>#REF!</f>
        <v>#REF!</v>
      </c>
      <c r="E92" s="13" t="s">
        <v>182</v>
      </c>
      <c r="F92" s="13" t="s">
        <v>4</v>
      </c>
      <c r="G92" s="13"/>
      <c r="H92" s="13"/>
      <c r="I92" s="13"/>
      <c r="J92" s="13"/>
      <c r="K92" s="13"/>
      <c r="L92" s="13"/>
    </row>
    <row r="93" spans="1:12" ht="15.75" customHeight="1" x14ac:dyDescent="0.3">
      <c r="A93" s="21" t="s">
        <v>183</v>
      </c>
      <c r="B93" s="39"/>
      <c r="C93" s="12"/>
      <c r="D93" s="12"/>
      <c r="E93" s="13" t="s">
        <v>184</v>
      </c>
      <c r="F93" s="13" t="s">
        <v>4</v>
      </c>
      <c r="G93" s="13"/>
      <c r="H93" s="13"/>
      <c r="I93" s="13"/>
      <c r="J93" s="13"/>
      <c r="K93" s="13"/>
      <c r="L93" s="13"/>
    </row>
    <row r="94" spans="1:12" ht="15.75" customHeight="1" x14ac:dyDescent="0.3">
      <c r="A94" s="16" t="s">
        <v>185</v>
      </c>
      <c r="B94" s="39" t="s">
        <v>186</v>
      </c>
      <c r="C94" s="15">
        <v>550000</v>
      </c>
      <c r="D94" s="12"/>
      <c r="E94" s="13" t="s">
        <v>130</v>
      </c>
      <c r="F94" s="13" t="s">
        <v>4</v>
      </c>
      <c r="G94" s="13"/>
      <c r="H94" s="13"/>
      <c r="I94" s="13"/>
      <c r="J94" s="13"/>
      <c r="K94" s="13"/>
      <c r="L94" s="13"/>
    </row>
    <row r="95" spans="1:12" ht="15.75" customHeight="1" x14ac:dyDescent="0.3">
      <c r="A95" s="16" t="s">
        <v>187</v>
      </c>
      <c r="B95" s="34" t="s">
        <v>188</v>
      </c>
      <c r="C95" s="12">
        <v>282656</v>
      </c>
      <c r="D95" s="12">
        <v>12</v>
      </c>
      <c r="E95" s="13" t="s">
        <v>130</v>
      </c>
      <c r="F95" s="13" t="s">
        <v>4</v>
      </c>
      <c r="G95" s="13"/>
      <c r="H95" s="13"/>
      <c r="I95" s="13" t="s">
        <v>3</v>
      </c>
      <c r="J95" s="13"/>
      <c r="K95" s="13"/>
      <c r="L95" s="13" t="s">
        <v>4</v>
      </c>
    </row>
    <row r="96" spans="1:12" ht="15.75" customHeight="1" x14ac:dyDescent="0.3">
      <c r="A96" s="16" t="s">
        <v>189</v>
      </c>
      <c r="B96" s="39" t="s">
        <v>190</v>
      </c>
      <c r="C96" s="12">
        <v>1259965</v>
      </c>
      <c r="D96" s="12">
        <v>27</v>
      </c>
      <c r="E96" s="13" t="s">
        <v>130</v>
      </c>
      <c r="F96" s="13"/>
      <c r="G96" s="13"/>
      <c r="H96" s="13"/>
      <c r="I96" s="13"/>
      <c r="J96" s="13"/>
      <c r="K96" s="13"/>
      <c r="L96" s="13"/>
    </row>
    <row r="97" spans="1:12" ht="15.75" customHeight="1" x14ac:dyDescent="0.3">
      <c r="A97" s="16" t="s">
        <v>191</v>
      </c>
      <c r="B97" s="39" t="s">
        <v>192</v>
      </c>
      <c r="C97" s="12">
        <v>817999</v>
      </c>
      <c r="D97" s="12">
        <v>15</v>
      </c>
      <c r="E97" s="13"/>
      <c r="F97" s="13" t="s">
        <v>3</v>
      </c>
      <c r="G97" s="13" t="s">
        <v>3</v>
      </c>
      <c r="H97" s="13"/>
      <c r="I97" s="13" t="s">
        <v>4</v>
      </c>
      <c r="J97" s="13"/>
      <c r="K97" s="13" t="s">
        <v>4</v>
      </c>
      <c r="L97" s="13" t="s">
        <v>4</v>
      </c>
    </row>
    <row r="98" spans="1:12" ht="15.75" customHeight="1" x14ac:dyDescent="0.3">
      <c r="A98" s="44" t="s">
        <v>193</v>
      </c>
      <c r="B98" s="39" t="s">
        <v>194</v>
      </c>
      <c r="C98" s="45">
        <v>850000</v>
      </c>
      <c r="D98" s="12">
        <v>22</v>
      </c>
      <c r="E98" s="13" t="s">
        <v>195</v>
      </c>
      <c r="F98" s="13" t="s">
        <v>3</v>
      </c>
      <c r="G98" s="13"/>
      <c r="H98" s="13"/>
      <c r="I98" s="13" t="s">
        <v>3</v>
      </c>
      <c r="J98" s="13"/>
      <c r="K98" s="13"/>
      <c r="L98" s="13" t="s">
        <v>4</v>
      </c>
    </row>
    <row r="99" spans="1:12" ht="15.75" customHeight="1" x14ac:dyDescent="0.3">
      <c r="A99" s="21" t="s">
        <v>196</v>
      </c>
      <c r="B99" s="39" t="s">
        <v>197</v>
      </c>
      <c r="C99" s="12">
        <v>445964</v>
      </c>
      <c r="D99" s="12">
        <v>6</v>
      </c>
      <c r="E99" s="13" t="s">
        <v>198</v>
      </c>
      <c r="F99" s="13" t="s">
        <v>4</v>
      </c>
      <c r="G99" s="13" t="s">
        <v>4</v>
      </c>
      <c r="H99" s="13"/>
      <c r="I99" s="13" t="s">
        <v>3</v>
      </c>
      <c r="J99" s="13"/>
      <c r="K99" s="13"/>
      <c r="L99" s="13" t="s">
        <v>4</v>
      </c>
    </row>
    <row r="100" spans="1:12" ht="15.75" customHeight="1" x14ac:dyDescent="0.3">
      <c r="A100" s="21" t="s">
        <v>199</v>
      </c>
      <c r="B100" s="34" t="s">
        <v>200</v>
      </c>
      <c r="C100" s="12">
        <v>871045</v>
      </c>
      <c r="D100" s="12">
        <v>20</v>
      </c>
      <c r="E100" s="13" t="s">
        <v>23</v>
      </c>
      <c r="F100" s="46" t="s">
        <v>201</v>
      </c>
      <c r="G100" s="13"/>
      <c r="H100" s="13" t="s">
        <v>202</v>
      </c>
      <c r="I100" s="13" t="s">
        <v>3</v>
      </c>
      <c r="J100" s="13"/>
      <c r="K100" s="13"/>
      <c r="L100" s="13" t="s">
        <v>3</v>
      </c>
    </row>
    <row r="101" spans="1:12" ht="15.75" customHeight="1" x14ac:dyDescent="0.3">
      <c r="A101" s="21" t="s">
        <v>203</v>
      </c>
      <c r="B101" s="34" t="s">
        <v>204</v>
      </c>
      <c r="C101" s="47"/>
      <c r="D101" s="13">
        <v>85</v>
      </c>
      <c r="E101" s="13" t="s">
        <v>23</v>
      </c>
      <c r="F101" s="13" t="s">
        <v>4</v>
      </c>
      <c r="G101" s="13"/>
      <c r="H101" s="13" t="s">
        <v>3</v>
      </c>
      <c r="I101" s="13" t="s">
        <v>4</v>
      </c>
      <c r="J101" s="13"/>
      <c r="K101" s="13"/>
      <c r="L101" s="13" t="s">
        <v>3</v>
      </c>
    </row>
    <row r="102" spans="1:12" ht="15.75" customHeight="1" x14ac:dyDescent="0.3">
      <c r="A102" s="16" t="s">
        <v>205</v>
      </c>
      <c r="B102" s="34" t="s">
        <v>204</v>
      </c>
      <c r="C102" s="47"/>
      <c r="D102" s="13">
        <v>42</v>
      </c>
      <c r="E102" s="13" t="s">
        <v>206</v>
      </c>
      <c r="F102" s="13" t="s">
        <v>4</v>
      </c>
      <c r="G102" s="13"/>
      <c r="H102" s="13" t="s">
        <v>3</v>
      </c>
      <c r="I102" s="13" t="s">
        <v>4</v>
      </c>
      <c r="J102" s="13"/>
      <c r="K102" s="13"/>
      <c r="L102" s="13" t="s">
        <v>4</v>
      </c>
    </row>
    <row r="103" spans="1:12" ht="15.75" customHeight="1" x14ac:dyDescent="0.3">
      <c r="A103" s="16" t="s">
        <v>207</v>
      </c>
      <c r="B103" s="34" t="s">
        <v>208</v>
      </c>
      <c r="C103" s="47"/>
      <c r="D103" s="13">
        <v>136</v>
      </c>
      <c r="E103" s="13" t="s">
        <v>209</v>
      </c>
      <c r="F103" s="13" t="s">
        <v>4</v>
      </c>
      <c r="G103" s="13" t="s">
        <v>4</v>
      </c>
      <c r="H103" s="13" t="s">
        <v>3</v>
      </c>
      <c r="I103" s="13" t="s">
        <v>4</v>
      </c>
      <c r="J103" s="13" t="s">
        <v>3</v>
      </c>
      <c r="K103" s="13" t="s">
        <v>3</v>
      </c>
      <c r="L103" s="13" t="s">
        <v>4</v>
      </c>
    </row>
    <row r="104" spans="1:12" ht="15.75" customHeight="1" x14ac:dyDescent="0.3">
      <c r="A104" s="16" t="s">
        <v>210</v>
      </c>
      <c r="B104" s="39" t="s">
        <v>211</v>
      </c>
      <c r="C104" s="47">
        <v>175000</v>
      </c>
      <c r="D104" s="13">
        <v>10</v>
      </c>
      <c r="E104" s="13" t="s">
        <v>212</v>
      </c>
      <c r="F104" s="13" t="s">
        <v>4</v>
      </c>
      <c r="G104" s="13" t="s">
        <v>3</v>
      </c>
      <c r="H104" s="13" t="s">
        <v>3</v>
      </c>
      <c r="I104" s="13" t="s">
        <v>4</v>
      </c>
      <c r="J104" s="13"/>
      <c r="K104" s="13"/>
      <c r="L104" s="13" t="s">
        <v>4</v>
      </c>
    </row>
    <row r="105" spans="1:12" ht="15.75" customHeight="1" x14ac:dyDescent="0.3">
      <c r="A105" s="16" t="s">
        <v>213</v>
      </c>
      <c r="B105" s="39"/>
      <c r="C105" s="47">
        <v>68283</v>
      </c>
      <c r="D105" s="13">
        <v>10</v>
      </c>
      <c r="E105" s="13" t="s">
        <v>214</v>
      </c>
      <c r="F105" s="13"/>
      <c r="G105" s="13" t="s">
        <v>3</v>
      </c>
      <c r="H105" s="13" t="s">
        <v>3</v>
      </c>
      <c r="I105" s="13" t="s">
        <v>3</v>
      </c>
      <c r="J105" s="13"/>
      <c r="K105" s="13"/>
      <c r="L105" s="13" t="s">
        <v>4</v>
      </c>
    </row>
    <row r="106" spans="1:12" ht="15.75" customHeight="1" x14ac:dyDescent="0.3">
      <c r="A106" s="21" t="s">
        <v>215</v>
      </c>
      <c r="B106" s="39" t="s">
        <v>216</v>
      </c>
      <c r="C106" s="47" t="s">
        <v>267</v>
      </c>
      <c r="D106" s="13">
        <v>78</v>
      </c>
      <c r="E106" s="13" t="s">
        <v>217</v>
      </c>
      <c r="F106" s="13"/>
      <c r="G106" s="13"/>
      <c r="H106" s="13" t="s">
        <v>3</v>
      </c>
      <c r="I106" s="13" t="s">
        <v>3</v>
      </c>
      <c r="J106" s="13"/>
      <c r="K106" s="13"/>
      <c r="L106" s="13" t="s">
        <v>4</v>
      </c>
    </row>
    <row r="107" spans="1:12" ht="15.75" customHeight="1" x14ac:dyDescent="0.3">
      <c r="A107" s="21" t="s">
        <v>218</v>
      </c>
      <c r="B107" s="39" t="s">
        <v>219</v>
      </c>
      <c r="C107" s="13"/>
      <c r="D107" s="13">
        <v>72</v>
      </c>
      <c r="E107" s="13" t="s">
        <v>130</v>
      </c>
      <c r="F107" s="13" t="s">
        <v>4</v>
      </c>
      <c r="G107" s="13" t="s">
        <v>220</v>
      </c>
      <c r="H107" s="13" t="s">
        <v>3</v>
      </c>
      <c r="I107" s="13" t="s">
        <v>3</v>
      </c>
      <c r="J107" s="13"/>
      <c r="K107" s="13"/>
      <c r="L107" s="13" t="s">
        <v>4</v>
      </c>
    </row>
    <row r="108" spans="1:12" ht="13.5" customHeight="1" x14ac:dyDescent="0.3">
      <c r="A108" s="49" t="s">
        <v>221</v>
      </c>
      <c r="B108" s="39" t="s">
        <v>222</v>
      </c>
      <c r="C108" s="13">
        <v>372680</v>
      </c>
      <c r="D108" s="13">
        <v>80</v>
      </c>
      <c r="E108" s="13"/>
      <c r="F108" s="13"/>
      <c r="G108" s="13" t="s">
        <v>3</v>
      </c>
      <c r="H108" s="13" t="s">
        <v>3</v>
      </c>
      <c r="I108" s="13"/>
      <c r="J108" s="13"/>
      <c r="K108" s="13"/>
      <c r="L108" s="13" t="s">
        <v>4</v>
      </c>
    </row>
    <row r="109" spans="1:12" ht="13.5" customHeight="1" x14ac:dyDescent="0.3">
      <c r="A109" s="49" t="s">
        <v>259</v>
      </c>
      <c r="B109" s="34" t="s">
        <v>223</v>
      </c>
      <c r="C109" s="47">
        <v>167000</v>
      </c>
      <c r="D109" s="13">
        <v>15</v>
      </c>
      <c r="E109" s="13" t="s">
        <v>160</v>
      </c>
      <c r="F109" s="13" t="s">
        <v>224</v>
      </c>
      <c r="G109" s="13" t="s">
        <v>3</v>
      </c>
      <c r="H109" s="13" t="s">
        <v>3</v>
      </c>
      <c r="I109" s="13" t="s">
        <v>3</v>
      </c>
      <c r="J109" s="13" t="s">
        <v>3</v>
      </c>
      <c r="K109" s="13"/>
      <c r="L109" s="13" t="s">
        <v>4</v>
      </c>
    </row>
    <row r="110" spans="1:12" ht="15.75" customHeight="1" x14ac:dyDescent="0.3">
      <c r="A110" s="48" t="s">
        <v>225</v>
      </c>
      <c r="B110" s="34" t="s">
        <v>226</v>
      </c>
      <c r="C110" s="47">
        <v>69129</v>
      </c>
      <c r="D110" s="13">
        <v>12</v>
      </c>
      <c r="E110" s="13" t="s">
        <v>30</v>
      </c>
      <c r="F110" s="13"/>
      <c r="G110" s="13" t="s">
        <v>4</v>
      </c>
      <c r="H110" s="13" t="s">
        <v>3</v>
      </c>
      <c r="I110" s="13" t="s">
        <v>3</v>
      </c>
      <c r="J110" s="13"/>
      <c r="K110" s="13"/>
      <c r="L110" s="13" t="s">
        <v>4</v>
      </c>
    </row>
    <row r="111" spans="1:12" ht="15.75" customHeight="1" x14ac:dyDescent="0.3">
      <c r="A111" s="51" t="s">
        <v>227</v>
      </c>
      <c r="B111" s="34" t="s">
        <v>1</v>
      </c>
      <c r="C111" s="50">
        <v>1200000</v>
      </c>
      <c r="D111" s="50">
        <v>72</v>
      </c>
      <c r="E111" s="13"/>
      <c r="F111" s="50"/>
      <c r="G111" s="50" t="s">
        <v>4</v>
      </c>
      <c r="H111" s="50" t="s">
        <v>3</v>
      </c>
      <c r="I111" s="50"/>
      <c r="J111" s="50"/>
      <c r="K111" s="50"/>
      <c r="L111" s="50" t="s">
        <v>6</v>
      </c>
    </row>
    <row r="112" spans="1:12" ht="15.75" customHeight="1" x14ac:dyDescent="0.3">
      <c r="A112" s="51" t="s">
        <v>228</v>
      </c>
      <c r="B112" s="34" t="s">
        <v>229</v>
      </c>
      <c r="C112" s="50">
        <v>1000000</v>
      </c>
      <c r="D112" s="50">
        <v>30</v>
      </c>
      <c r="E112" s="13"/>
      <c r="F112" s="50"/>
      <c r="G112" s="50" t="s">
        <v>4</v>
      </c>
      <c r="H112" s="50" t="s">
        <v>3</v>
      </c>
      <c r="I112" s="50"/>
      <c r="J112" s="50"/>
      <c r="K112" s="50"/>
      <c r="L112" s="50" t="s">
        <v>230</v>
      </c>
    </row>
    <row r="113" spans="1:12" ht="15.75" customHeight="1" x14ac:dyDescent="0.3">
      <c r="A113" s="51" t="s">
        <v>231</v>
      </c>
      <c r="B113" s="39" t="s">
        <v>232</v>
      </c>
      <c r="C113" s="50">
        <v>475000</v>
      </c>
      <c r="D113" s="50">
        <v>30</v>
      </c>
      <c r="E113" s="13" t="s">
        <v>135</v>
      </c>
      <c r="F113" s="50"/>
      <c r="G113" s="50" t="s">
        <v>4</v>
      </c>
      <c r="H113" s="50" t="s">
        <v>3</v>
      </c>
      <c r="I113" s="50"/>
      <c r="J113" s="50"/>
      <c r="K113" s="50"/>
      <c r="L113" s="50" t="s">
        <v>233</v>
      </c>
    </row>
    <row r="114" spans="1:12" ht="15.75" customHeight="1" x14ac:dyDescent="0.3">
      <c r="A114" s="51" t="s">
        <v>260</v>
      </c>
      <c r="B114" s="34" t="s">
        <v>234</v>
      </c>
      <c r="C114" s="50">
        <v>1140000</v>
      </c>
      <c r="D114" s="50"/>
      <c r="E114" s="13"/>
      <c r="F114" s="50"/>
      <c r="G114" s="50" t="s">
        <v>4</v>
      </c>
      <c r="H114" s="50" t="s">
        <v>3</v>
      </c>
      <c r="I114" s="50"/>
      <c r="J114" s="50"/>
      <c r="K114" s="50"/>
      <c r="L114" s="50" t="s">
        <v>235</v>
      </c>
    </row>
    <row r="115" spans="1:12" ht="15.75" customHeight="1" x14ac:dyDescent="0.3">
      <c r="A115" s="49" t="s">
        <v>236</v>
      </c>
      <c r="B115" s="52" t="s">
        <v>1</v>
      </c>
      <c r="C115" s="53">
        <v>1401800</v>
      </c>
      <c r="D115" s="50">
        <v>15</v>
      </c>
      <c r="E115" s="13" t="s">
        <v>237</v>
      </c>
      <c r="F115" s="50"/>
      <c r="G115" s="50"/>
      <c r="H115" s="50"/>
      <c r="I115" s="50"/>
      <c r="J115" s="50"/>
      <c r="K115" s="50"/>
      <c r="L115" s="50" t="s">
        <v>6</v>
      </c>
    </row>
    <row r="116" spans="1:12" ht="15.75" customHeight="1" x14ac:dyDescent="0.3">
      <c r="A116" s="49" t="s">
        <v>238</v>
      </c>
      <c r="B116" s="54" t="s">
        <v>239</v>
      </c>
      <c r="C116" s="53">
        <v>1530000</v>
      </c>
      <c r="D116" s="50">
        <v>20</v>
      </c>
      <c r="E116" s="13" t="s">
        <v>217</v>
      </c>
      <c r="F116" s="50"/>
      <c r="G116" s="50"/>
      <c r="H116" s="50" t="s">
        <v>3</v>
      </c>
      <c r="I116" s="50" t="s">
        <v>4</v>
      </c>
      <c r="J116" s="50" t="s">
        <v>3</v>
      </c>
      <c r="K116" s="50" t="s">
        <v>3</v>
      </c>
      <c r="L116" s="50" t="s">
        <v>261</v>
      </c>
    </row>
    <row r="117" spans="1:12" ht="15.75" customHeight="1" x14ac:dyDescent="0.3"/>
    <row r="118" spans="1:12" ht="15.75" customHeight="1" x14ac:dyDescent="0.3"/>
    <row r="119" spans="1:12" ht="15.75" customHeight="1" x14ac:dyDescent="0.3"/>
    <row r="120" spans="1:12" ht="15.75" customHeight="1" x14ac:dyDescent="0.3"/>
    <row r="121" spans="1:12" ht="15.75" customHeight="1" x14ac:dyDescent="0.3"/>
    <row r="122" spans="1:12" ht="15.75" customHeight="1" x14ac:dyDescent="0.3"/>
    <row r="123" spans="1:12" ht="15.75" customHeight="1" x14ac:dyDescent="0.3"/>
    <row r="124" spans="1:12" ht="15.75" customHeight="1" x14ac:dyDescent="0.3"/>
    <row r="125" spans="1:12" ht="15.75" customHeight="1" x14ac:dyDescent="0.3"/>
    <row r="126" spans="1:12" ht="15.75" customHeight="1" x14ac:dyDescent="0.3"/>
    <row r="127" spans="1:12" ht="15.75" customHeight="1" x14ac:dyDescent="0.3"/>
    <row r="128" spans="1:12"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sheetData>
  <hyperlinks>
    <hyperlink ref="A3" r:id="rId1" xr:uid="{00000000-0004-0000-0000-000000000000}"/>
    <hyperlink ref="A4" r:id="rId2" xr:uid="{00000000-0004-0000-0000-000001000000}"/>
    <hyperlink ref="A5" r:id="rId3" xr:uid="{00000000-0004-0000-0000-000002000000}"/>
    <hyperlink ref="A13" r:id="rId4" xr:uid="{00000000-0004-0000-0000-000003000000}"/>
    <hyperlink ref="I13" r:id="rId5" xr:uid="{00000000-0004-0000-0000-000004000000}"/>
    <hyperlink ref="H14" r:id="rId6" xr:uid="{00000000-0004-0000-0000-000005000000}"/>
    <hyperlink ref="I14" r:id="rId7" xr:uid="{00000000-0004-0000-0000-000006000000}"/>
    <hyperlink ref="A15" r:id="rId8" xr:uid="{00000000-0004-0000-0000-000007000000}"/>
    <hyperlink ref="A16" r:id="rId9" xr:uid="{00000000-0004-0000-0000-000008000000}"/>
    <hyperlink ref="A17" r:id="rId10" xr:uid="{00000000-0004-0000-0000-000009000000}"/>
    <hyperlink ref="A19" r:id="rId11" xr:uid="{00000000-0004-0000-0000-00000A000000}"/>
    <hyperlink ref="A20" r:id="rId12" xr:uid="{00000000-0004-0000-0000-00000B000000}"/>
    <hyperlink ref="A23" r:id="rId13" xr:uid="{00000000-0004-0000-0000-00000C000000}"/>
    <hyperlink ref="K27" r:id="rId14" xr:uid="{00000000-0004-0000-0000-00000D000000}"/>
    <hyperlink ref="A28" r:id="rId15" xr:uid="{00000000-0004-0000-0000-00000E000000}"/>
    <hyperlink ref="A31" r:id="rId16" xr:uid="{00000000-0004-0000-0000-00000F000000}"/>
    <hyperlink ref="A34" r:id="rId17" xr:uid="{00000000-0004-0000-0000-000010000000}"/>
    <hyperlink ref="A38" r:id="rId18" xr:uid="{00000000-0004-0000-0000-000011000000}"/>
    <hyperlink ref="I38" r:id="rId19" xr:uid="{00000000-0004-0000-0000-000012000000}"/>
    <hyperlink ref="A39" r:id="rId20" xr:uid="{00000000-0004-0000-0000-000013000000}"/>
    <hyperlink ref="I39" r:id="rId21" xr:uid="{00000000-0004-0000-0000-000014000000}"/>
    <hyperlink ref="I40" r:id="rId22" xr:uid="{00000000-0004-0000-0000-000015000000}"/>
    <hyperlink ref="A48" r:id="rId23" xr:uid="{00000000-0004-0000-0000-000016000000}"/>
    <hyperlink ref="A50" r:id="rId24" display="71 Charlotte Furnace Road " xr:uid="{00000000-0004-0000-0000-000017000000}"/>
    <hyperlink ref="A53" r:id="rId25" xr:uid="{00000000-0004-0000-0000-000018000000}"/>
    <hyperlink ref="A54" r:id="rId26" xr:uid="{00000000-0004-0000-0000-000019000000}"/>
    <hyperlink ref="A59" r:id="rId27" xr:uid="{00000000-0004-0000-0000-00001B000000}"/>
    <hyperlink ref="A60" r:id="rId28" xr:uid="{00000000-0004-0000-0000-00001C000000}"/>
    <hyperlink ref="A73" r:id="rId29" xr:uid="{00000000-0004-0000-0000-00001D000000}"/>
    <hyperlink ref="B73" r:id="rId30" xr:uid="{00000000-0004-0000-0000-00001E000000}"/>
    <hyperlink ref="E78" r:id="rId31" xr:uid="{00000000-0004-0000-0000-00001F000000}"/>
    <hyperlink ref="A80" r:id="rId32" xr:uid="{00000000-0004-0000-0000-000021000000}"/>
    <hyperlink ref="A93" r:id="rId33" xr:uid="{00000000-0004-0000-0000-000022000000}"/>
    <hyperlink ref="A98" r:id="rId34" xr:uid="{00000000-0004-0000-0000-000023000000}"/>
    <hyperlink ref="C98" r:id="rId35" display="https://savethecountywoodlot.com/illegal-solar-facility-on-lot-19e-abutting-wood-lot/" xr:uid="{00000000-0004-0000-0000-000024000000}"/>
    <hyperlink ref="A99" r:id="rId36" xr:uid="{00000000-0004-0000-0000-000025000000}"/>
    <hyperlink ref="A100" r:id="rId37" xr:uid="{00000000-0004-0000-0000-000026000000}"/>
    <hyperlink ref="A101" r:id="rId38" xr:uid="{00000000-0004-0000-0000-000027000000}"/>
    <hyperlink ref="A106" r:id="rId39" xr:uid="{00000000-0004-0000-0000-000028000000}"/>
    <hyperlink ref="A107" r:id="rId40" xr:uid="{00000000-0004-0000-0000-000029000000}"/>
    <hyperlink ref="A111" r:id="rId41" xr:uid="{00000000-0004-0000-0000-00002A000000}"/>
    <hyperlink ref="A112" r:id="rId42" xr:uid="{00000000-0004-0000-0000-00002B000000}"/>
    <hyperlink ref="A113" r:id="rId43" xr:uid="{00000000-0004-0000-0000-00002C000000}"/>
    <hyperlink ref="A114" r:id="rId44" display="Lignan Street, Halifax" xr:uid="{00000000-0004-0000-0000-00002D000000}"/>
  </hyperlinks>
  <pageMargins left="0.22138045997262396" right="0" top="0.24150595633377159" bottom="0" header="0" footer="0"/>
  <pageSetup paperSize="8" scale="50" orientation="portrait"/>
  <legacyDrawing r:id="rId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Earth Removal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Powell</dc:creator>
  <cp:lastModifiedBy>Joe Leedy</cp:lastModifiedBy>
  <dcterms:created xsi:type="dcterms:W3CDTF">2022-04-20T17:59:58Z</dcterms:created>
  <dcterms:modified xsi:type="dcterms:W3CDTF">2026-04-28T15:04:54Z</dcterms:modified>
</cp:coreProperties>
</file>